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ink/ink1.xml" ContentType="application/inkml+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7001b406fdc78ce8/Desktop/"/>
    </mc:Choice>
  </mc:AlternateContent>
  <xr:revisionPtr revIDLastSave="10" documentId="8_{547526A5-2DC1-4B22-8428-CBCD7C361933}" xr6:coauthVersionLast="47" xr6:coauthVersionMax="47" xr10:uidLastSave="{9324AA96-D46B-4989-A463-4941E0950BF8}"/>
  <bookViews>
    <workbookView minimized="1" xWindow="345" yWindow="5145" windowWidth="20490" windowHeight="6000" xr2:uid="{18B02A9B-BA1F-41AD-AC25-B44B190F9493}"/>
  </bookViews>
  <sheets>
    <sheet name="DASHBOARD" sheetId="2" r:id="rId1"/>
    <sheet name="reports" sheetId="1" r:id="rId2"/>
  </sheets>
  <externalReferences>
    <externalReference r:id="rId3"/>
  </externalReferences>
  <definedNames>
    <definedName name="_xlchart.v1.3" hidden="1">[1]reports!$AE$77:$AE$80</definedName>
    <definedName name="_xlchart.v1.4" hidden="1">[1]reports!$AF$77:$AF$80</definedName>
    <definedName name="_xlchart.v1.5" hidden="1">[1]reports!$AG$77:$AG$80</definedName>
    <definedName name="_xlchart.v1.6" hidden="1">reports!$AE$77:$AE$80</definedName>
    <definedName name="_xlchart.v1.7" hidden="1">reports!$AF$77:$AF$80</definedName>
    <definedName name="_xlchart.v1.8" hidden="1">reports!$AG$77:$AG$80</definedName>
    <definedName name="_xlchart.v2.0" hidden="1">[1]reports!$AH$49:$AH$62</definedName>
    <definedName name="_xlchart.v2.1" hidden="1">[1]reports!$AI$48</definedName>
    <definedName name="_xlchart.v2.2" hidden="1">[1]reports!$AI$49:$AI$62</definedName>
    <definedName name="Slicer_Category1">#N/A</definedName>
    <definedName name="Slicer_Category11">#N/A</definedName>
    <definedName name="Slicer_Order_Status">#N/A</definedName>
    <definedName name="Slicer_Order_Status1">#N/A</definedName>
    <definedName name="Slicer_Payment_Mode">#N/A</definedName>
    <definedName name="Slicer_Payment_Mode1">#N/A</definedName>
    <definedName name="Slicer_Product1">#N/A</definedName>
    <definedName name="Slicer_Quarter">#N/A</definedName>
    <definedName name="Slicer_Quarter1">#N/A</definedName>
    <definedName name="Slicer_Region1">#N/A</definedName>
    <definedName name="Slicer_Region11">#N/A</definedName>
    <definedName name="Slicer_Sales_Amount1">#N/A</definedName>
    <definedName name="Slicer_State">#N/A</definedName>
  </definedNames>
  <calcPr calcId="191029"/>
  <pivotCaches>
    <pivotCache cacheId="14" r:id="rId4"/>
    <pivotCache cacheId="15" r:id="rId5"/>
    <pivotCache cacheId="10" r:id="rId6"/>
    <pivotCache cacheId="11"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25" i="1" l="1"/>
  <c r="AH125" i="1"/>
  <c r="AI124" i="1"/>
  <c r="AH124" i="1"/>
  <c r="AI123" i="1"/>
  <c r="AH123" i="1"/>
  <c r="AI122" i="1"/>
  <c r="AH122" i="1"/>
  <c r="AI121" i="1"/>
  <c r="AH121" i="1"/>
  <c r="AI120" i="1"/>
  <c r="AH120" i="1"/>
  <c r="AI119" i="1"/>
  <c r="AH119" i="1"/>
  <c r="AI118" i="1"/>
  <c r="AH118" i="1"/>
  <c r="AI117" i="1"/>
  <c r="AH117" i="1"/>
  <c r="AI116" i="1"/>
  <c r="AH116" i="1"/>
  <c r="AI115" i="1"/>
  <c r="AH115" i="1"/>
  <c r="AI114" i="1"/>
  <c r="AH114" i="1"/>
  <c r="AI113" i="1"/>
  <c r="AH113" i="1"/>
  <c r="AI112" i="1"/>
  <c r="AH112" i="1"/>
  <c r="AI111" i="1"/>
  <c r="AH111" i="1"/>
  <c r="AI110" i="1"/>
  <c r="AH110" i="1"/>
  <c r="AI109" i="1"/>
  <c r="AH109" i="1"/>
  <c r="AI108" i="1"/>
  <c r="AH108" i="1"/>
  <c r="AI107" i="1"/>
  <c r="AH107" i="1"/>
  <c r="AI106" i="1"/>
  <c r="AH106" i="1"/>
  <c r="AI105" i="1"/>
  <c r="AH105" i="1"/>
  <c r="AI104" i="1"/>
  <c r="AH104" i="1"/>
  <c r="AI103" i="1"/>
  <c r="AH103" i="1"/>
  <c r="AI102" i="1"/>
  <c r="AH102" i="1"/>
  <c r="AI101" i="1"/>
  <c r="AH101" i="1"/>
  <c r="AI100" i="1"/>
  <c r="AH100" i="1"/>
  <c r="AI99" i="1"/>
  <c r="AH99" i="1"/>
  <c r="AI98" i="1"/>
  <c r="AH98" i="1"/>
  <c r="AI97" i="1"/>
  <c r="AH97" i="1"/>
  <c r="AI96" i="1"/>
  <c r="AH96" i="1"/>
  <c r="AI95" i="1"/>
  <c r="AH95" i="1"/>
  <c r="AI94" i="1"/>
  <c r="AH94" i="1"/>
  <c r="AI93" i="1"/>
  <c r="AH93" i="1"/>
  <c r="AI92" i="1"/>
  <c r="AH92" i="1"/>
  <c r="AI91" i="1"/>
  <c r="AH91" i="1"/>
  <c r="AI90" i="1"/>
  <c r="AH90" i="1"/>
  <c r="AI89" i="1"/>
  <c r="AH89" i="1"/>
  <c r="AI88" i="1"/>
  <c r="AH88" i="1"/>
  <c r="AI87" i="1"/>
  <c r="AH87" i="1"/>
  <c r="AI86" i="1"/>
  <c r="AH86" i="1"/>
  <c r="AH80" i="1"/>
  <c r="AG80" i="1"/>
  <c r="AF80" i="1"/>
  <c r="AE80" i="1"/>
  <c r="AH79" i="1"/>
  <c r="AG79" i="1"/>
  <c r="AF79" i="1"/>
  <c r="AE79" i="1"/>
  <c r="AH78" i="1"/>
  <c r="AG78" i="1"/>
  <c r="AF78" i="1"/>
  <c r="AE78" i="1"/>
  <c r="AH77" i="1"/>
  <c r="AG77" i="1"/>
  <c r="AF77" i="1"/>
  <c r="AE77" i="1"/>
  <c r="AI63" i="1"/>
  <c r="AH63" i="1"/>
  <c r="AI62" i="1"/>
  <c r="AH62" i="1"/>
  <c r="AI61" i="1"/>
  <c r="AH61" i="1"/>
  <c r="AI60" i="1"/>
  <c r="AH60" i="1"/>
  <c r="AI59" i="1"/>
  <c r="AH59" i="1"/>
  <c r="AI58" i="1"/>
  <c r="AH58" i="1"/>
  <c r="AI57" i="1"/>
  <c r="AH57" i="1"/>
  <c r="AI56" i="1"/>
  <c r="AH56" i="1"/>
  <c r="AI55" i="1"/>
  <c r="AH55" i="1"/>
  <c r="AI54" i="1"/>
  <c r="AH54" i="1"/>
  <c r="AI53" i="1"/>
  <c r="AH53" i="1"/>
  <c r="AI52" i="1"/>
  <c r="AH52" i="1"/>
  <c r="AI51" i="1"/>
  <c r="AH51" i="1"/>
  <c r="AI50" i="1"/>
  <c r="AH50" i="1"/>
  <c r="AI49" i="1"/>
  <c r="AH49" i="1"/>
  <c r="AH42" i="1"/>
  <c r="AK39" i="1"/>
  <c r="AJ39" i="1"/>
  <c r="AK38" i="1"/>
  <c r="AK37" i="1"/>
  <c r="AJ37" i="1"/>
  <c r="AE37" i="1"/>
  <c r="AK36" i="1"/>
  <c r="AJ36" i="1"/>
  <c r="AK35" i="1"/>
  <c r="AJ35" i="1"/>
  <c r="AK34" i="1"/>
  <c r="AJ34" i="1"/>
  <c r="AE32" i="1"/>
  <c r="AJ8" i="1"/>
  <c r="AI8" i="1"/>
  <c r="AJ7" i="1"/>
  <c r="AI7" i="1"/>
  <c r="AJ6" i="1"/>
  <c r="AI6" i="1"/>
  <c r="AJ5" i="1"/>
  <c r="AI5" i="1"/>
  <c r="AJ4" i="1"/>
  <c r="AI4" i="1"/>
  <c r="AJ3" i="1"/>
  <c r="AI3" i="1"/>
</calcChain>
</file>

<file path=xl/sharedStrings.xml><?xml version="1.0" encoding="utf-8"?>
<sst xmlns="http://schemas.openxmlformats.org/spreadsheetml/2006/main" count="4177" uniqueCount="563">
  <si>
    <t>Order ID</t>
  </si>
  <si>
    <t>Order Date</t>
  </si>
  <si>
    <t>Month</t>
  </si>
  <si>
    <t>Quarter</t>
  </si>
  <si>
    <t>Year</t>
  </si>
  <si>
    <t>Region</t>
  </si>
  <si>
    <t>State</t>
  </si>
  <si>
    <t>City</t>
  </si>
  <si>
    <t>Sales Channel</t>
  </si>
  <si>
    <t>Customer Segment</t>
  </si>
  <si>
    <t>Salesperson</t>
  </si>
  <si>
    <t>Category</t>
  </si>
  <si>
    <t>Sub-Category</t>
  </si>
  <si>
    <t>Product</t>
  </si>
  <si>
    <t>Units Sold</t>
  </si>
  <si>
    <t>Unit Price</t>
  </si>
  <si>
    <t>Discount %</t>
  </si>
  <si>
    <t>Sales Amount</t>
  </si>
  <si>
    <t>Cost Amount</t>
  </si>
  <si>
    <t>Profit</t>
  </si>
  <si>
    <t>Profit %</t>
  </si>
  <si>
    <t>Payment Mode</t>
  </si>
  <si>
    <t>Ship Mode</t>
  </si>
  <si>
    <t>Delivery Days</t>
  </si>
  <si>
    <t>Order Status</t>
  </si>
  <si>
    <t>Row Labels</t>
  </si>
  <si>
    <t>Sum of Sales Amount</t>
  </si>
  <si>
    <t>ORD20250001</t>
  </si>
  <si>
    <t>2025-03-20</t>
  </si>
  <si>
    <t>Mar</t>
  </si>
  <si>
    <t>Q1</t>
  </si>
  <si>
    <t>East</t>
  </si>
  <si>
    <t>Odisha</t>
  </si>
  <si>
    <t>Bhubaneswar</t>
  </si>
  <si>
    <t>Distributor</t>
  </si>
  <si>
    <t>Consumer</t>
  </si>
  <si>
    <t>Neha Verma</t>
  </si>
  <si>
    <t>Clothing</t>
  </si>
  <si>
    <t>Women</t>
  </si>
  <si>
    <t>Western Dress</t>
  </si>
  <si>
    <t>Cash on Delivery</t>
  </si>
  <si>
    <t>Standard</t>
  </si>
  <si>
    <t>Delivered</t>
  </si>
  <si>
    <t>ORD20250002</t>
  </si>
  <si>
    <t>2025-03-11</t>
  </si>
  <si>
    <t>North</t>
  </si>
  <si>
    <t>Rajasthan</t>
  </si>
  <si>
    <t>Udaipur</t>
  </si>
  <si>
    <t>Retail Store</t>
  </si>
  <si>
    <t>Home Office</t>
  </si>
  <si>
    <t>Amit Sharma</t>
  </si>
  <si>
    <t>Electronics</t>
  </si>
  <si>
    <t>Mobile</t>
  </si>
  <si>
    <t>iPhone 14</t>
  </si>
  <si>
    <t>UPI</t>
  </si>
  <si>
    <t>Express</t>
  </si>
  <si>
    <t>Q2</t>
  </si>
  <si>
    <t>ORD20250003</t>
  </si>
  <si>
    <t>2025-12-02</t>
  </si>
  <si>
    <t>Dec</t>
  </si>
  <si>
    <t>Q4</t>
  </si>
  <si>
    <t>West Bengal</t>
  </si>
  <si>
    <t>Kolkata</t>
  </si>
  <si>
    <t>Corporate</t>
  </si>
  <si>
    <t>Sandeep Rao</t>
  </si>
  <si>
    <t>Laptop</t>
  </si>
  <si>
    <t>HP Pavilion</t>
  </si>
  <si>
    <t>Debit Card</t>
  </si>
  <si>
    <t>Q3</t>
  </si>
  <si>
    <t>ORD20250004</t>
  </si>
  <si>
    <t>2025-07-06</t>
  </si>
  <si>
    <t>Jul</t>
  </si>
  <si>
    <t>Delhi</t>
  </si>
  <si>
    <t>New Delhi</t>
  </si>
  <si>
    <t>Rohit Jain</t>
  </si>
  <si>
    <t>Furniture</t>
  </si>
  <si>
    <t>Table</t>
  </si>
  <si>
    <t>Study Table</t>
  </si>
  <si>
    <t>Credit Card</t>
  </si>
  <si>
    <t>ORD20250005</t>
  </si>
  <si>
    <t>Men</t>
  </si>
  <si>
    <t>Formal Shirt</t>
  </si>
  <si>
    <t>Grand Total</t>
  </si>
  <si>
    <t>ORD20250006</t>
  </si>
  <si>
    <t>2025-02-04</t>
  </si>
  <si>
    <t>Feb</t>
  </si>
  <si>
    <t>Arjun Patel</t>
  </si>
  <si>
    <t>Same Day</t>
  </si>
  <si>
    <t>Processing</t>
  </si>
  <si>
    <t>ORD20250007</t>
  </si>
  <si>
    <t>2025-12-22</t>
  </si>
  <si>
    <t>West</t>
  </si>
  <si>
    <t>Maharashtra</t>
  </si>
  <si>
    <t>Pune</t>
  </si>
  <si>
    <t>Online</t>
  </si>
  <si>
    <t>Pooja Singh</t>
  </si>
  <si>
    <t>ORD20250008</t>
  </si>
  <si>
    <t>2025-06-22</t>
  </si>
  <si>
    <t>Jun</t>
  </si>
  <si>
    <t>South</t>
  </si>
  <si>
    <t>Telangana</t>
  </si>
  <si>
    <t>Hyderabad</t>
  </si>
  <si>
    <t>Grocery</t>
  </si>
  <si>
    <t>Snacks</t>
  </si>
  <si>
    <t>Potato Chips Combo</t>
  </si>
  <si>
    <t>Net Banking</t>
  </si>
  <si>
    <t>Shipped</t>
  </si>
  <si>
    <t>ORD20250009</t>
  </si>
  <si>
    <t>2025-10-03</t>
  </si>
  <si>
    <t>Oct</t>
  </si>
  <si>
    <t>Punjab</t>
  </si>
  <si>
    <t>Ludhiana</t>
  </si>
  <si>
    <t>ORD20250010</t>
  </si>
  <si>
    <t>Beverages</t>
  </si>
  <si>
    <t>Premium Tea Pack</t>
  </si>
  <si>
    <t>ORD20250011</t>
  </si>
  <si>
    <t>2025-04-30</t>
  </si>
  <si>
    <t>May</t>
  </si>
  <si>
    <t>Karnataka</t>
  </si>
  <si>
    <t>Bengaluru</t>
  </si>
  <si>
    <t>Rahul Mehta</t>
  </si>
  <si>
    <t>Chair</t>
  </si>
  <si>
    <t>Office Chair</t>
  </si>
  <si>
    <t>Returned</t>
  </si>
  <si>
    <t>Sum of Sales Amount2</t>
  </si>
  <si>
    <t>ORD20250012</t>
  </si>
  <si>
    <t>2025-03-01</t>
  </si>
  <si>
    <t>Cuttack</t>
  </si>
  <si>
    <t>Accessories</t>
  </si>
  <si>
    <t>Mechanical Keyboard</t>
  </si>
  <si>
    <t>ORD20250013</t>
  </si>
  <si>
    <t>2025-07-13</t>
  </si>
  <si>
    <t>Kavya Iyer</t>
  </si>
  <si>
    <t>Instant Coffee Jar</t>
  </si>
  <si>
    <t>ORD20250014</t>
  </si>
  <si>
    <t>2025-11-02</t>
  </si>
  <si>
    <t>Nov</t>
  </si>
  <si>
    <t>Gaming Chair</t>
  </si>
  <si>
    <t>ORD20250015</t>
  </si>
  <si>
    <t>2025-03-21</t>
  </si>
  <si>
    <t>Dining Table</t>
  </si>
  <si>
    <t>ORD20250016</t>
  </si>
  <si>
    <t>2025-02-16</t>
  </si>
  <si>
    <t>Mumbai</t>
  </si>
  <si>
    <t>Simran Kaur</t>
  </si>
  <si>
    <t>Samsung Galaxy A54</t>
  </si>
  <si>
    <t>ORD20250017</t>
  </si>
  <si>
    <t>2025-02-07</t>
  </si>
  <si>
    <t>Goa</t>
  </si>
  <si>
    <t>Panaji</t>
  </si>
  <si>
    <t>Denim Jeans</t>
  </si>
  <si>
    <t>ORD20250018</t>
  </si>
  <si>
    <t>2025-09-23</t>
  </si>
  <si>
    <t>Sep</t>
  </si>
  <si>
    <t>ORD20250019</t>
  </si>
  <si>
    <t>2025-06-06</t>
  </si>
  <si>
    <t>Priya Nair</t>
  </si>
  <si>
    <t>ORD20250020</t>
  </si>
  <si>
    <t>2025-04-19</t>
  </si>
  <si>
    <t>Apr</t>
  </si>
  <si>
    <t>Amritsar</t>
  </si>
  <si>
    <t>Sum of Unit Price</t>
  </si>
  <si>
    <t>Sum of Units Sold</t>
  </si>
  <si>
    <t>Sum of Unit Price2</t>
  </si>
  <si>
    <t>Count of Product</t>
  </si>
  <si>
    <t>ORD20250021</t>
  </si>
  <si>
    <t>2025-12-20</t>
  </si>
  <si>
    <t>Uttar Pradesh</t>
  </si>
  <si>
    <t>Kanpur</t>
  </si>
  <si>
    <t>ORD20250022</t>
  </si>
  <si>
    <t>2025-04-01</t>
  </si>
  <si>
    <t>ORD20250023</t>
  </si>
  <si>
    <t>2025-02-25</t>
  </si>
  <si>
    <t>ORD20250024</t>
  </si>
  <si>
    <t>2025-11-03</t>
  </si>
  <si>
    <t>Siliguri</t>
  </si>
  <si>
    <t>ORD20250025</t>
  </si>
  <si>
    <t>2025-11-18</t>
  </si>
  <si>
    <t>(blank)</t>
  </si>
  <si>
    <t>ORD20250026</t>
  </si>
  <si>
    <t>Nagpur</t>
  </si>
  <si>
    <t>ORD20250027</t>
  </si>
  <si>
    <t>2025-02-01</t>
  </si>
  <si>
    <t>Gujarat</t>
  </si>
  <si>
    <t>Surat</t>
  </si>
  <si>
    <t>Silk Saree</t>
  </si>
  <si>
    <t>ORD20250028</t>
  </si>
  <si>
    <t>2025-04-03</t>
  </si>
  <si>
    <t>Bihar</t>
  </si>
  <si>
    <t>Patna</t>
  </si>
  <si>
    <t>ORD20250029</t>
  </si>
  <si>
    <t>2025-01-22</t>
  </si>
  <si>
    <t>Jan</t>
  </si>
  <si>
    <t>ORD20250030</t>
  </si>
  <si>
    <t>2025-06-10</t>
  </si>
  <si>
    <t>ORD20250031</t>
  </si>
  <si>
    <t>Mysuru</t>
  </si>
  <si>
    <t>Sum of Profit</t>
  </si>
  <si>
    <t>ORD20250032</t>
  </si>
  <si>
    <t>2025-05-26</t>
  </si>
  <si>
    <t>ORD20250033</t>
  </si>
  <si>
    <t>2025-07-07</t>
  </si>
  <si>
    <t>ORD20250034</t>
  </si>
  <si>
    <t>2025-06-12</t>
  </si>
  <si>
    <t>ORD20250035</t>
  </si>
  <si>
    <t>2025-01-27</t>
  </si>
  <si>
    <t>Ahmedabad</t>
  </si>
  <si>
    <t>ORD20250036</t>
  </si>
  <si>
    <t>2025-07-31</t>
  </si>
  <si>
    <t>Aug</t>
  </si>
  <si>
    <t>ORD20250037</t>
  </si>
  <si>
    <t>2025-12-08</t>
  </si>
  <si>
    <t>ORD20250038</t>
  </si>
  <si>
    <t>2025-01-09</t>
  </si>
  <si>
    <t>Kerala</t>
  </si>
  <si>
    <t>Thiruvananthapuram</t>
  </si>
  <si>
    <t>ORD20250039</t>
  </si>
  <si>
    <t>ORD20250040</t>
  </si>
  <si>
    <t>2025-04-09</t>
  </si>
  <si>
    <t>ORD20250041</t>
  </si>
  <si>
    <t>2025-08-22</t>
  </si>
  <si>
    <t>Sum of Cost Amount</t>
  </si>
  <si>
    <t>ORD20250042</t>
  </si>
  <si>
    <t>2025-04-07</t>
  </si>
  <si>
    <t>ORD20250043</t>
  </si>
  <si>
    <t>2025-02-13</t>
  </si>
  <si>
    <t>ORD20250044</t>
  </si>
  <si>
    <t>2025-03-12</t>
  </si>
  <si>
    <t>Wireless Mouse</t>
  </si>
  <si>
    <t>ORD20250045</t>
  </si>
  <si>
    <t>2025-05-24</t>
  </si>
  <si>
    <t>ORD20250046</t>
  </si>
  <si>
    <t>2025-07-02</t>
  </si>
  <si>
    <t>ORD20250047</t>
  </si>
  <si>
    <t>2025-03-07</t>
  </si>
  <si>
    <t>ORD20250048</t>
  </si>
  <si>
    <t>2025-05-15</t>
  </si>
  <si>
    <t>ORD20250049</t>
  </si>
  <si>
    <t>Butter Biscuits</t>
  </si>
  <si>
    <t>ORD20250050</t>
  </si>
  <si>
    <t>2025-07-25</t>
  </si>
  <si>
    <t>ORD20250051</t>
  </si>
  <si>
    <t>ORD20250052</t>
  </si>
  <si>
    <t>2025-08-18</t>
  </si>
  <si>
    <t>Jaipur</t>
  </si>
  <si>
    <t>ORD20250053</t>
  </si>
  <si>
    <t>2025-10-21</t>
  </si>
  <si>
    <t>Dell Inspiron 15</t>
  </si>
  <si>
    <t>ORD20250054</t>
  </si>
  <si>
    <t>2025-05-08</t>
  </si>
  <si>
    <t>ORD20250055</t>
  </si>
  <si>
    <t>2025-02-11</t>
  </si>
  <si>
    <t>Tamil Nadu</t>
  </si>
  <si>
    <t>Coimbatore</t>
  </si>
  <si>
    <t>ORD20250056</t>
  </si>
  <si>
    <t>ORD20250057</t>
  </si>
  <si>
    <t>2025-08-15</t>
  </si>
  <si>
    <t>ORD20250058</t>
  </si>
  <si>
    <t>ORD20250059</t>
  </si>
  <si>
    <t>2025-12-18</t>
  </si>
  <si>
    <t>ORD20250060</t>
  </si>
  <si>
    <t>ORD20250061</t>
  </si>
  <si>
    <t>2025-03-31</t>
  </si>
  <si>
    <t>ORD20250062</t>
  </si>
  <si>
    <t>2025-03-18</t>
  </si>
  <si>
    <t>ORD20250063</t>
  </si>
  <si>
    <t>2025-01-31</t>
  </si>
  <si>
    <t>ORD20250064</t>
  </si>
  <si>
    <t>2025-10-19</t>
  </si>
  <si>
    <t>ORD20250065</t>
  </si>
  <si>
    <t>2025-12-27</t>
  </si>
  <si>
    <t>ORD20250066</t>
  </si>
  <si>
    <t>ORD20250067</t>
  </si>
  <si>
    <t>2025-10-05</t>
  </si>
  <si>
    <t>ORD20250068</t>
  </si>
  <si>
    <t>2025-02-19</t>
  </si>
  <si>
    <t>ORD20250069</t>
  </si>
  <si>
    <t>Chennai</t>
  </si>
  <si>
    <t>ORD20250070</t>
  </si>
  <si>
    <t>ORD20250071</t>
  </si>
  <si>
    <t>ORD20250072</t>
  </si>
  <si>
    <t>2025-04-22</t>
  </si>
  <si>
    <t>ORD20250073</t>
  </si>
  <si>
    <t>ORD20250074</t>
  </si>
  <si>
    <t>2025-11-11</t>
  </si>
  <si>
    <t>ORD20250075</t>
  </si>
  <si>
    <t>ORD20250076</t>
  </si>
  <si>
    <t>2025-11-17</t>
  </si>
  <si>
    <t>ORD20250077</t>
  </si>
  <si>
    <t>2025-08-14</t>
  </si>
  <si>
    <t>ORD20250078</t>
  </si>
  <si>
    <t>2025-06-13</t>
  </si>
  <si>
    <t>ORD20250079</t>
  </si>
  <si>
    <t>2025-01-13</t>
  </si>
  <si>
    <t>ORD20250080</t>
  </si>
  <si>
    <t>2025-11-21</t>
  </si>
  <si>
    <t>ORD20250081</t>
  </si>
  <si>
    <t>2025-10-14</t>
  </si>
  <si>
    <t>ORD20250082</t>
  </si>
  <si>
    <t>ORD20250083</t>
  </si>
  <si>
    <t>2025-10-13</t>
  </si>
  <si>
    <t>ORD20250084</t>
  </si>
  <si>
    <t>ORD20250085</t>
  </si>
  <si>
    <t>2025-07-09</t>
  </si>
  <si>
    <t>ORD20250086</t>
  </si>
  <si>
    <t>2025-03-02</t>
  </si>
  <si>
    <t>ORD20250087</t>
  </si>
  <si>
    <t>2025-03-10</t>
  </si>
  <si>
    <t>ORD20250088</t>
  </si>
  <si>
    <t>ORD20250089</t>
  </si>
  <si>
    <t>2025-07-15</t>
  </si>
  <si>
    <t>ORD20250090</t>
  </si>
  <si>
    <t>2025-03-27</t>
  </si>
  <si>
    <t>ORD20250091</t>
  </si>
  <si>
    <t>2025-08-02</t>
  </si>
  <si>
    <t>ORD20250092</t>
  </si>
  <si>
    <t>2025-09-15</t>
  </si>
  <si>
    <t>ORD20250093</t>
  </si>
  <si>
    <t>ORD20250094</t>
  </si>
  <si>
    <t>ORD20250095</t>
  </si>
  <si>
    <t>2025-09-10</t>
  </si>
  <si>
    <t>ORD20250096</t>
  </si>
  <si>
    <t>ORD20250097</t>
  </si>
  <si>
    <t>2025-04-27</t>
  </si>
  <si>
    <t>Lucknow</t>
  </si>
  <si>
    <t>Kochi</t>
  </si>
  <si>
    <t>ORD20250098</t>
  </si>
  <si>
    <t>2025-03-06</t>
  </si>
  <si>
    <t>ORD20250099</t>
  </si>
  <si>
    <t>ORD20250100</t>
  </si>
  <si>
    <t>2025-10-10</t>
  </si>
  <si>
    <t>ORD20250101</t>
  </si>
  <si>
    <t>2025-05-12</t>
  </si>
  <si>
    <t>ORD20250102</t>
  </si>
  <si>
    <t>2025-01-01</t>
  </si>
  <si>
    <t>ORD20250103</t>
  </si>
  <si>
    <t>2025-02-05</t>
  </si>
  <si>
    <t>Noida</t>
  </si>
  <si>
    <t>ORD20250104</t>
  </si>
  <si>
    <t>2025-09-18</t>
  </si>
  <si>
    <t>ORD20250105</t>
  </si>
  <si>
    <t>ORD20250106</t>
  </si>
  <si>
    <t>ORD20250107</t>
  </si>
  <si>
    <t>2025-05-14</t>
  </si>
  <si>
    <t>ORD20250108</t>
  </si>
  <si>
    <t>2025-09-04</t>
  </si>
  <si>
    <t>ORD20250109</t>
  </si>
  <si>
    <t>ORD20250110</t>
  </si>
  <si>
    <t>2025-07-11</t>
  </si>
  <si>
    <t>ORD20250111</t>
  </si>
  <si>
    <t>ORD20250112</t>
  </si>
  <si>
    <t>2025-04-21</t>
  </si>
  <si>
    <t>ORD20250113</t>
  </si>
  <si>
    <t>2025-02-26</t>
  </si>
  <si>
    <t>ORD20250114</t>
  </si>
  <si>
    <t>2025-09-02</t>
  </si>
  <si>
    <t>ORD20250115</t>
  </si>
  <si>
    <t>2025-07-22</t>
  </si>
  <si>
    <t>ORD20250116</t>
  </si>
  <si>
    <t>2025-11-16</t>
  </si>
  <si>
    <t>ORD20250117</t>
  </si>
  <si>
    <t>2025-04-25</t>
  </si>
  <si>
    <t>ORD20250118</t>
  </si>
  <si>
    <t>2025-04-10</t>
  </si>
  <si>
    <t>ORD20250119</t>
  </si>
  <si>
    <t>ORD20250120</t>
  </si>
  <si>
    <t>ORD20250121</t>
  </si>
  <si>
    <t>2025-08-13</t>
  </si>
  <si>
    <t>ORD20250122</t>
  </si>
  <si>
    <t>2025-06-19</t>
  </si>
  <si>
    <t>ORD20250123</t>
  </si>
  <si>
    <t>2025-03-16</t>
  </si>
  <si>
    <t>ORD20250124</t>
  </si>
  <si>
    <t>2025-10-25</t>
  </si>
  <si>
    <t>ORD20250125</t>
  </si>
  <si>
    <t>2025-03-15</t>
  </si>
  <si>
    <t>ORD20250126</t>
  </si>
  <si>
    <t>2025-12-19</t>
  </si>
  <si>
    <t>ORD20250127</t>
  </si>
  <si>
    <t>2025-06-18</t>
  </si>
  <si>
    <t>ORD20250128</t>
  </si>
  <si>
    <t>2025-12-25</t>
  </si>
  <si>
    <t>ORD20250129</t>
  </si>
  <si>
    <t>2025-09-09</t>
  </si>
  <si>
    <t>ORD20250130</t>
  </si>
  <si>
    <t>2025-09-25</t>
  </si>
  <si>
    <t>ORD20250131</t>
  </si>
  <si>
    <t>2025-02-23</t>
  </si>
  <si>
    <t>ORD20250132</t>
  </si>
  <si>
    <t>2025-08-19</t>
  </si>
  <si>
    <t>ORD20250133</t>
  </si>
  <si>
    <t>2025-11-12</t>
  </si>
  <si>
    <t>ORD20250134</t>
  </si>
  <si>
    <t>ORD20250135</t>
  </si>
  <si>
    <t>ORD20250136</t>
  </si>
  <si>
    <t>2025-10-31</t>
  </si>
  <si>
    <t>ORD20250137</t>
  </si>
  <si>
    <t>2025-09-26</t>
  </si>
  <si>
    <t>ORD20250138</t>
  </si>
  <si>
    <t>2025-05-01</t>
  </si>
  <si>
    <t>ORD20250139</t>
  </si>
  <si>
    <t>ORD20250140</t>
  </si>
  <si>
    <t>ORD20250141</t>
  </si>
  <si>
    <t>ORD20250142</t>
  </si>
  <si>
    <t>ORD20250143</t>
  </si>
  <si>
    <t>2025-10-26</t>
  </si>
  <si>
    <t>ORD20250144</t>
  </si>
  <si>
    <t>ORD20250145</t>
  </si>
  <si>
    <t>2025-10-08</t>
  </si>
  <si>
    <t>ORD20250146</t>
  </si>
  <si>
    <t>ORD20250147</t>
  </si>
  <si>
    <t>2025-05-20</t>
  </si>
  <si>
    <t>ORD20250148</t>
  </si>
  <si>
    <t>ORD20250149</t>
  </si>
  <si>
    <t>2025-10-11</t>
  </si>
  <si>
    <t>ORD20250150</t>
  </si>
  <si>
    <t>2025-03-23</t>
  </si>
  <si>
    <t>ORD20250151</t>
  </si>
  <si>
    <t>ORD20250152</t>
  </si>
  <si>
    <t>2025-12-21</t>
  </si>
  <si>
    <t>ORD20250153</t>
  </si>
  <si>
    <t>2025-02-03</t>
  </si>
  <si>
    <t>ORD20250154</t>
  </si>
  <si>
    <t>ORD20250155</t>
  </si>
  <si>
    <t>2025-04-17</t>
  </si>
  <si>
    <t>ORD20250156</t>
  </si>
  <si>
    <t>2025-11-27</t>
  </si>
  <si>
    <t>ORD20250157</t>
  </si>
  <si>
    <t>ORD20250158</t>
  </si>
  <si>
    <t>2025-06-15</t>
  </si>
  <si>
    <t>ORD20250159</t>
  </si>
  <si>
    <t>2025-02-06</t>
  </si>
  <si>
    <t>ORD20250160</t>
  </si>
  <si>
    <t>2025-11-13</t>
  </si>
  <si>
    <t>ORD20250161</t>
  </si>
  <si>
    <t>2025-04-16</t>
  </si>
  <si>
    <t>ORD20250162</t>
  </si>
  <si>
    <t>2025-08-24</t>
  </si>
  <si>
    <t>ORD20250163</t>
  </si>
  <si>
    <t>ORD20250164</t>
  </si>
  <si>
    <t>2025-05-25</t>
  </si>
  <si>
    <t>ORD20250165</t>
  </si>
  <si>
    <t>2025-07-19</t>
  </si>
  <si>
    <t>ORD20250166</t>
  </si>
  <si>
    <t>ORD20250167</t>
  </si>
  <si>
    <t>2025-04-15</t>
  </si>
  <si>
    <t>ORD20250168</t>
  </si>
  <si>
    <t>2025-01-02</t>
  </si>
  <si>
    <t>ORD20250169</t>
  </si>
  <si>
    <t>ORD20250170</t>
  </si>
  <si>
    <t>2025-05-18</t>
  </si>
  <si>
    <t>ORD20250171</t>
  </si>
  <si>
    <t>2025-03-05</t>
  </si>
  <si>
    <t>ORD20250172</t>
  </si>
  <si>
    <t>2025-12-12</t>
  </si>
  <si>
    <t>ORD20250173</t>
  </si>
  <si>
    <t>ORD20250174</t>
  </si>
  <si>
    <t>ORD20250175</t>
  </si>
  <si>
    <t>2025-07-24</t>
  </si>
  <si>
    <t>ORD20250176</t>
  </si>
  <si>
    <t>ORD20250177</t>
  </si>
  <si>
    <t>2025-02-10</t>
  </si>
  <si>
    <t>ORD20250178</t>
  </si>
  <si>
    <t>2025-08-25</t>
  </si>
  <si>
    <t>ORD20250179</t>
  </si>
  <si>
    <t>ORD20250180</t>
  </si>
  <si>
    <t>ORD20250181</t>
  </si>
  <si>
    <t>2025-10-12</t>
  </si>
  <si>
    <t>ORD20250182</t>
  </si>
  <si>
    <t>2024-12-31</t>
  </si>
  <si>
    <t>ORD20250183</t>
  </si>
  <si>
    <t>ORD20250184</t>
  </si>
  <si>
    <t>ORD20250185</t>
  </si>
  <si>
    <t>2025-06-24</t>
  </si>
  <si>
    <t>ORD20250186</t>
  </si>
  <si>
    <t>2025-05-03</t>
  </si>
  <si>
    <t>ORD20250187</t>
  </si>
  <si>
    <t>2025-09-27</t>
  </si>
  <si>
    <t>ORD20250188</t>
  </si>
  <si>
    <t>ORD20250189</t>
  </si>
  <si>
    <t>ORD20250190</t>
  </si>
  <si>
    <t>2025-05-31</t>
  </si>
  <si>
    <t>ORD20250191</t>
  </si>
  <si>
    <t>2025-09-17</t>
  </si>
  <si>
    <t>ORD20250192</t>
  </si>
  <si>
    <t>ORD20250193</t>
  </si>
  <si>
    <t>2025-06-05</t>
  </si>
  <si>
    <t>ORD20250194</t>
  </si>
  <si>
    <t>ORD20250195</t>
  </si>
  <si>
    <t>ORD20250196</t>
  </si>
  <si>
    <t>2025-05-04</t>
  </si>
  <si>
    <t>ORD20250197</t>
  </si>
  <si>
    <t>ORD20250198</t>
  </si>
  <si>
    <t>ORD20250199</t>
  </si>
  <si>
    <t>ORD20250200</t>
  </si>
  <si>
    <t>2025-10-20</t>
  </si>
  <si>
    <t>ORD20250201</t>
  </si>
  <si>
    <t>ORD20250202</t>
  </si>
  <si>
    <t>ORD20250203</t>
  </si>
  <si>
    <t>2025-09-11</t>
  </si>
  <si>
    <t>ORD20250204</t>
  </si>
  <si>
    <t>2025-07-04</t>
  </si>
  <si>
    <t>ORD20250205</t>
  </si>
  <si>
    <t>2025-01-24</t>
  </si>
  <si>
    <t>ORD20250206</t>
  </si>
  <si>
    <t>2025-04-11</t>
  </si>
  <si>
    <t>ORD20250207</t>
  </si>
  <si>
    <t>2025-05-21</t>
  </si>
  <si>
    <t>ORD20250208</t>
  </si>
  <si>
    <t>ORD20250209</t>
  </si>
  <si>
    <t>ORD20250210</t>
  </si>
  <si>
    <t>2025-07-20</t>
  </si>
  <si>
    <t>ORD20250211</t>
  </si>
  <si>
    <t>ORD20250212</t>
  </si>
  <si>
    <t>ORD20250213</t>
  </si>
  <si>
    <t>ORD20250214</t>
  </si>
  <si>
    <t>ORD20250215</t>
  </si>
  <si>
    <t>ORD20250216</t>
  </si>
  <si>
    <t>ORD20250217</t>
  </si>
  <si>
    <t>ORD20250218</t>
  </si>
  <si>
    <t>2025-08-27</t>
  </si>
  <si>
    <t>ORD20250219</t>
  </si>
  <si>
    <t>ORD20250220</t>
  </si>
  <si>
    <t>2025-03-09</t>
  </si>
  <si>
    <t>ORD20250221</t>
  </si>
  <si>
    <t>ORD20250222</t>
  </si>
  <si>
    <t>ORD20250223</t>
  </si>
  <si>
    <t>ORD20250224</t>
  </si>
  <si>
    <t>2025-04-08</t>
  </si>
  <si>
    <t>ORD20250225</t>
  </si>
  <si>
    <t>ORD20250226</t>
  </si>
  <si>
    <t>2025-05-22</t>
  </si>
  <si>
    <t>ORD20250227</t>
  </si>
  <si>
    <t>2025-01-15</t>
  </si>
  <si>
    <t>ORD20250228</t>
  </si>
  <si>
    <t>ORD20250229</t>
  </si>
  <si>
    <t>ORD20250230</t>
  </si>
  <si>
    <t>ORD20250231</t>
  </si>
  <si>
    <t>2025-07-14</t>
  </si>
  <si>
    <t>ORD20250232</t>
  </si>
  <si>
    <t>ORD20250233</t>
  </si>
  <si>
    <t>ORD20250234</t>
  </si>
  <si>
    <t>2025-05-19</t>
  </si>
  <si>
    <t>ORD20250235</t>
  </si>
  <si>
    <t>ORD20250236</t>
  </si>
  <si>
    <t>2025-04-13</t>
  </si>
  <si>
    <t>ORD20250237</t>
  </si>
  <si>
    <t>2025-12-09</t>
  </si>
  <si>
    <t>ORD20250238</t>
  </si>
  <si>
    <t>ORD20250239</t>
  </si>
  <si>
    <t>ORD20250240</t>
  </si>
  <si>
    <t>ORD20250241</t>
  </si>
  <si>
    <t>ORD20250242</t>
  </si>
  <si>
    <t>2025-08-17</t>
  </si>
  <si>
    <t>ORD20250243</t>
  </si>
  <si>
    <t>ORD20250244</t>
  </si>
  <si>
    <t>2025-08-26</t>
  </si>
  <si>
    <t>ORD20250245</t>
  </si>
  <si>
    <t>ORD20250246</t>
  </si>
  <si>
    <t>2025-08-09</t>
  </si>
  <si>
    <t>ORD20250247</t>
  </si>
  <si>
    <t>ORD20250248</t>
  </si>
  <si>
    <t>ORD20250249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</si>
</sst>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dd/mmm/yyyy"/>
    <numFmt numFmtId="165" formatCode="\₹#,##0.00"/>
  </numFmts>
  <fonts count="3" x14ac:knownFonts="1">
    <font>
      <sz val="11"/>
      <color theme="1"/>
      <name val="Calibri"/>
      <family val="2"/>
      <scheme val="minor"/>
    </font>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0" fontId="2" fillId="2" borderId="1" xfId="0" applyFont="1" applyFill="1" applyBorder="1" applyAlignment="1">
      <alignment horizontal="center"/>
    </xf>
    <xf numFmtId="164" fontId="2" fillId="2" borderId="1" xfId="0" applyNumberFormat="1" applyFont="1" applyFill="1" applyBorder="1" applyAlignment="1">
      <alignment horizontal="center"/>
    </xf>
    <xf numFmtId="0" fontId="0" fillId="0" borderId="2" xfId="0" applyBorder="1" applyAlignment="1">
      <alignment horizontal="center"/>
    </xf>
    <xf numFmtId="0" fontId="0" fillId="0" borderId="1" xfId="0" applyBorder="1" applyAlignment="1">
      <alignment horizontal="center"/>
    </xf>
    <xf numFmtId="14" fontId="0" fillId="0" borderId="1" xfId="1" applyNumberFormat="1" applyFont="1" applyBorder="1" applyAlignment="1">
      <alignment horizontal="center"/>
    </xf>
    <xf numFmtId="165" fontId="0" fillId="0" borderId="1" xfId="0" applyNumberFormat="1" applyBorder="1" applyAlignment="1">
      <alignment horizontal="center"/>
    </xf>
    <xf numFmtId="9" fontId="0" fillId="0" borderId="1" xfId="0" applyNumberFormat="1" applyBorder="1" applyAlignment="1">
      <alignment horizontal="center"/>
    </xf>
    <xf numFmtId="10" fontId="0" fillId="0" borderId="1" xfId="0" applyNumberFormat="1" applyBorder="1" applyAlignment="1">
      <alignment horizontal="center"/>
    </xf>
    <xf numFmtId="0" fontId="0" fillId="0" borderId="0" xfId="0" applyAlignment="1">
      <alignment horizontal="left"/>
    </xf>
    <xf numFmtId="165" fontId="0" fillId="0" borderId="0" xfId="0" applyNumberFormat="1"/>
    <xf numFmtId="0" fontId="0" fillId="0" borderId="3" xfId="0" applyBorder="1" applyAlignment="1">
      <alignment horizontal="center"/>
    </xf>
    <xf numFmtId="10" fontId="0" fillId="0" borderId="0" xfId="0" applyNumberFormat="1"/>
    <xf numFmtId="0" fontId="0" fillId="0" borderId="0" xfId="0" applyAlignment="1">
      <alignment horizontal="center"/>
    </xf>
    <xf numFmtId="165" fontId="0" fillId="0" borderId="0" xfId="0" applyNumberFormat="1" applyAlignment="1">
      <alignment horizontal="center"/>
    </xf>
    <xf numFmtId="0" fontId="0" fillId="0" borderId="0" xfId="0" applyAlignment="1">
      <alignment horizontal="left" indent="1"/>
    </xf>
    <xf numFmtId="10" fontId="0" fillId="0" borderId="0" xfId="0" applyNumberFormat="1" applyAlignment="1">
      <alignment horizontal="center"/>
    </xf>
    <xf numFmtId="165" fontId="0" fillId="0" borderId="0" xfId="0" applyNumberFormat="1" applyAlignment="1">
      <alignment horizontal="left"/>
    </xf>
    <xf numFmtId="164" fontId="0" fillId="0" borderId="0" xfId="0" applyNumberFormat="1"/>
    <xf numFmtId="0" fontId="0" fillId="0" borderId="0" xfId="0" pivotButton="1"/>
    <xf numFmtId="0" fontId="0" fillId="0" borderId="0" xfId="0" applyAlignment="1">
      <alignment horizontal="center"/>
    </xf>
  </cellXfs>
  <cellStyles count="2">
    <cellStyle name="Currency" xfId="1" builtinId="4"/>
    <cellStyle name="Normal" xfId="0" builtinId="0"/>
  </cellStyles>
  <dxfs count="9">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microsoft.com/office/2007/relationships/slicerCache" Target="slicerCaches/slicerCache11.xml"/><Relationship Id="rId3" Type="http://schemas.openxmlformats.org/officeDocument/2006/relationships/externalLink" Target="externalLinks/externalLink1.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microsoft.com/office/2007/relationships/slicerCache" Target="slicerCaches/slicerCache5.xml"/><Relationship Id="rId17" Type="http://schemas.microsoft.com/office/2007/relationships/slicerCache" Target="slicerCaches/slicerCache10.xml"/><Relationship Id="rId2" Type="http://schemas.openxmlformats.org/officeDocument/2006/relationships/worksheet" Target="worksheets/sheet2.xml"/><Relationship Id="rId16" Type="http://schemas.microsoft.com/office/2007/relationships/slicerCache" Target="slicerCaches/slicerCache9.xml"/><Relationship Id="rId20" Type="http://schemas.microsoft.com/office/2007/relationships/slicerCache" Target="slicerCaches/slicerCache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4.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microsoft.com/office/2007/relationships/slicerCache" Target="slicerCaches/slicerCache8.xml"/><Relationship Id="rId23" Type="http://schemas.openxmlformats.org/officeDocument/2006/relationships/sharedStrings" Target="sharedStrings.xml"/><Relationship Id="rId10" Type="http://schemas.microsoft.com/office/2007/relationships/slicerCache" Target="slicerCaches/slicerCache3.xml"/><Relationship Id="rId19" Type="http://schemas.microsoft.com/office/2007/relationships/slicerCache" Target="slicerCaches/slicerCache12.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view3D>
      <c:rotX val="15"/>
      <c:rotY val="20"/>
      <c:depthPercent val="100"/>
      <c:rAngAx val="0"/>
    </c:view3D>
    <c:floor>
      <c:thickness val="0"/>
      <c:spPr>
        <a:noFill/>
        <a:ln w="9525" cap="flat" cmpd="sng" algn="ctr">
          <a:solidFill>
            <a:schemeClr val="tx2">
              <a:lumMod val="40000"/>
              <a:lumOff val="60000"/>
            </a:schemeClr>
          </a:solidFill>
          <a:round/>
        </a:ln>
        <a:effectLst/>
        <a:sp3d contourW="9525">
          <a:contourClr>
            <a:schemeClr val="tx2">
              <a:lumMod val="40000"/>
              <a:lumOff val="60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59295983063846"/>
          <c:y val="0.17667862523101771"/>
          <c:w val="0.90271450967957867"/>
          <c:h val="0.61441062943781366"/>
        </c:manualLayout>
      </c:layout>
      <c:area3DChart>
        <c:grouping val="standard"/>
        <c:varyColors val="0"/>
        <c:ser>
          <c:idx val="0"/>
          <c:order val="0"/>
          <c:tx>
            <c:strRef>
              <c:f>[1]reports!$AJ$2</c:f>
              <c:strCache>
                <c:ptCount val="1"/>
                <c:pt idx="0">
                  <c:v>Sum of Sales Amount</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dLbls>
            <c:delete val="1"/>
          </c:dLbls>
          <c:cat>
            <c:strRef>
              <c:f>[1]reports!$AI$3:$AI$6</c:f>
              <c:strCache>
                <c:ptCount val="4"/>
                <c:pt idx="0">
                  <c:v>Q1</c:v>
                </c:pt>
                <c:pt idx="1">
                  <c:v>Q2</c:v>
                </c:pt>
                <c:pt idx="2">
                  <c:v>Q3</c:v>
                </c:pt>
                <c:pt idx="3">
                  <c:v>Q4</c:v>
                </c:pt>
              </c:strCache>
            </c:strRef>
          </c:cat>
          <c:val>
            <c:numRef>
              <c:f>[1]reports!$AJ$3:$AJ$6</c:f>
              <c:numCache>
                <c:formatCode>General</c:formatCode>
                <c:ptCount val="4"/>
                <c:pt idx="0">
                  <c:v>3604360.0499999993</c:v>
                </c:pt>
                <c:pt idx="1">
                  <c:v>3879623.38</c:v>
                </c:pt>
                <c:pt idx="2">
                  <c:v>2573506.1700000004</c:v>
                </c:pt>
                <c:pt idx="3">
                  <c:v>3106295.4799999995</c:v>
                </c:pt>
              </c:numCache>
            </c:numRef>
          </c:val>
          <c:extLst>
            <c:ext xmlns:c16="http://schemas.microsoft.com/office/drawing/2014/chart" uri="{C3380CC4-5D6E-409C-BE32-E72D297353CC}">
              <c16:uniqueId val="{00000000-40AD-4F31-B797-6F01A15965D9}"/>
            </c:ext>
          </c:extLst>
        </c:ser>
        <c:dLbls>
          <c:showLegendKey val="0"/>
          <c:showVal val="1"/>
          <c:showCatName val="0"/>
          <c:showSerName val="0"/>
          <c:showPercent val="0"/>
          <c:showBubbleSize val="0"/>
        </c:dLbls>
        <c:axId val="535283263"/>
        <c:axId val="570490671"/>
        <c:axId val="527103711"/>
      </c:area3DChart>
      <c:catAx>
        <c:axId val="53528326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0490671"/>
        <c:crosses val="autoZero"/>
        <c:auto val="1"/>
        <c:lblAlgn val="ctr"/>
        <c:lblOffset val="100"/>
        <c:noMultiLvlLbl val="0"/>
      </c:catAx>
      <c:valAx>
        <c:axId val="570490671"/>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535283263"/>
        <c:crosses val="autoZero"/>
        <c:crossBetween val="midCat"/>
      </c:valAx>
      <c:serAx>
        <c:axId val="527103711"/>
        <c:scaling>
          <c:orientation val="minMax"/>
        </c:scaling>
        <c:delete val="1"/>
        <c:axPos val="b"/>
        <c:majorTickMark val="out"/>
        <c:minorTickMark val="none"/>
        <c:tickLblPos val="nextTo"/>
        <c:crossAx val="570490671"/>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Sum of Sales Amount</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8D9-439C-80CB-CADB295C97E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8D9-439C-80CB-CADB295C97E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8D9-439C-80CB-CADB295C97E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8D9-439C-80CB-CADB295C97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East</c:v>
              </c:pt>
              <c:pt idx="1">
                <c:v>North</c:v>
              </c:pt>
              <c:pt idx="2">
                <c:v>South</c:v>
              </c:pt>
              <c:pt idx="3">
                <c:v>West</c:v>
              </c:pt>
            </c:strLit>
          </c:cat>
          <c:val>
            <c:numLit>
              <c:formatCode>General</c:formatCode>
              <c:ptCount val="4"/>
              <c:pt idx="0">
                <c:v>3220120.6399999992</c:v>
              </c:pt>
              <c:pt idx="1">
                <c:v>3898368.0399999991</c:v>
              </c:pt>
              <c:pt idx="2">
                <c:v>2364717.8299999996</c:v>
              </c:pt>
              <c:pt idx="3">
                <c:v>3680578.57</c:v>
              </c:pt>
            </c:numLit>
          </c:val>
          <c:extLst>
            <c:ext xmlns:c16="http://schemas.microsoft.com/office/drawing/2014/chart" uri="{C3380CC4-5D6E-409C-BE32-E72D297353CC}">
              <c16:uniqueId val="{00000008-38D9-439C-80CB-CADB295C97E6}"/>
            </c:ext>
          </c:extLst>
        </c:ser>
        <c:ser>
          <c:idx val="1"/>
          <c:order val="1"/>
          <c:tx>
            <c:v>Sum of Sales Amount2</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A-38D9-439C-80CB-CADB295C97E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C-38D9-439C-80CB-CADB295C97E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E-38D9-439C-80CB-CADB295C97E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0-38D9-439C-80CB-CADB295C97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East</c:v>
              </c:pt>
              <c:pt idx="1">
                <c:v>North</c:v>
              </c:pt>
              <c:pt idx="2">
                <c:v>South</c:v>
              </c:pt>
              <c:pt idx="3">
                <c:v>West</c:v>
              </c:pt>
            </c:strLit>
          </c:cat>
          <c:val>
            <c:numLit>
              <c:formatCode>General</c:formatCode>
              <c:ptCount val="4"/>
              <c:pt idx="0">
                <c:v>0.24461966071539659</c:v>
              </c:pt>
              <c:pt idx="1">
                <c:v>0.29614339768603998</c:v>
              </c:pt>
              <c:pt idx="2">
                <c:v>0.17963813717931043</c:v>
              </c:pt>
              <c:pt idx="3">
                <c:v>0.27959880441925294</c:v>
              </c:pt>
            </c:numLit>
          </c:val>
          <c:extLst>
            <c:ext xmlns:c16="http://schemas.microsoft.com/office/drawing/2014/chart" uri="{C3380CC4-5D6E-409C-BE32-E72D297353CC}">
              <c16:uniqueId val="{00000011-38D9-439C-80CB-CADB295C97E6}"/>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[1]reports!$AJ$34:$AJ$37</c:f>
              <c:strCache>
                <c:ptCount val="4"/>
                <c:pt idx="0">
                  <c:v>Delivered</c:v>
                </c:pt>
                <c:pt idx="1">
                  <c:v>Processing</c:v>
                </c:pt>
                <c:pt idx="2">
                  <c:v>Returned</c:v>
                </c:pt>
                <c:pt idx="3">
                  <c:v>Shipped</c:v>
                </c:pt>
              </c:strCache>
            </c:strRef>
          </c:cat>
          <c:val>
            <c:numRef>
              <c:f>[1]reports!$AK$34:$AK$37</c:f>
              <c:numCache>
                <c:formatCode>General</c:formatCode>
                <c:ptCount val="4"/>
                <c:pt idx="0">
                  <c:v>127</c:v>
                </c:pt>
                <c:pt idx="1">
                  <c:v>48</c:v>
                </c:pt>
                <c:pt idx="2">
                  <c:v>39</c:v>
                </c:pt>
                <c:pt idx="3">
                  <c:v>35</c:v>
                </c:pt>
              </c:numCache>
            </c:numRef>
          </c:val>
          <c:extLst>
            <c:ext xmlns:c16="http://schemas.microsoft.com/office/drawing/2014/chart" uri="{C3380CC4-5D6E-409C-BE32-E72D297353CC}">
              <c16:uniqueId val="{00000000-B9D1-421E-A729-F62E1E30DCDE}"/>
            </c:ext>
          </c:extLst>
        </c:ser>
        <c:dLbls>
          <c:dLblPos val="ctr"/>
          <c:showLegendKey val="0"/>
          <c:showVal val="1"/>
          <c:showCatName val="0"/>
          <c:showSerName val="0"/>
          <c:showPercent val="0"/>
          <c:showBubbleSize val="0"/>
        </c:dLbls>
        <c:gapWidth val="150"/>
        <c:overlap val="100"/>
        <c:axId val="68666064"/>
        <c:axId val="924703567"/>
      </c:barChart>
      <c:catAx>
        <c:axId val="686660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03567"/>
        <c:crosses val="autoZero"/>
        <c:auto val="1"/>
        <c:lblAlgn val="ctr"/>
        <c:lblOffset val="100"/>
        <c:noMultiLvlLbl val="0"/>
      </c:catAx>
      <c:valAx>
        <c:axId val="9247035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[project.xlsx]reports!PivotTable3</c:name>
    <c:fmtId val="6"/>
  </c:pivotSource>
  <c:chart>
    <c:title>
      <c:layout>
        <c:manualLayout>
          <c:xMode val="edge"/>
          <c:yMode val="edge"/>
          <c:x val="0.45072926917649747"/>
          <c:y val="5.72506609746586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reports!$AF$13</c:f>
              <c:strCache>
                <c:ptCount val="1"/>
                <c:pt idx="0">
                  <c:v>Sum of Sales 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880-4568-B97B-4B68AB73BF4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880-4568-B97B-4B68AB73BF4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880-4568-B97B-4B68AB73BF4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880-4568-B97B-4B68AB73BF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reports!$AE$14:$AE$18</c:f>
              <c:strCache>
                <c:ptCount val="4"/>
                <c:pt idx="0">
                  <c:v>East</c:v>
                </c:pt>
                <c:pt idx="1">
                  <c:v>North</c:v>
                </c:pt>
                <c:pt idx="2">
                  <c:v>South</c:v>
                </c:pt>
                <c:pt idx="3">
                  <c:v>West</c:v>
                </c:pt>
              </c:strCache>
            </c:strRef>
          </c:cat>
          <c:val>
            <c:numRef>
              <c:f>reports!$AF$14:$AF$18</c:f>
              <c:numCache>
                <c:formatCode>\₹#,##0.00</c:formatCode>
                <c:ptCount val="4"/>
                <c:pt idx="0">
                  <c:v>3220120.6399999992</c:v>
                </c:pt>
                <c:pt idx="1">
                  <c:v>3898368.0399999991</c:v>
                </c:pt>
                <c:pt idx="2">
                  <c:v>2364717.8299999996</c:v>
                </c:pt>
                <c:pt idx="3">
                  <c:v>3680578.57</c:v>
                </c:pt>
              </c:numCache>
            </c:numRef>
          </c:val>
          <c:extLst>
            <c:ext xmlns:c16="http://schemas.microsoft.com/office/drawing/2014/chart" uri="{C3380CC4-5D6E-409C-BE32-E72D297353CC}">
              <c16:uniqueId val="{00000008-6880-4568-B97B-4B68AB73BF46}"/>
            </c:ext>
          </c:extLst>
        </c:ser>
        <c:ser>
          <c:idx val="1"/>
          <c:order val="1"/>
          <c:tx>
            <c:strRef>
              <c:f>reports!$AG$13</c:f>
              <c:strCache>
                <c:ptCount val="1"/>
                <c:pt idx="0">
                  <c:v>Sum of Sales Amount2</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A-6880-4568-B97B-4B68AB73BF4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C-6880-4568-B97B-4B68AB73BF4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E-6880-4568-B97B-4B68AB73BF4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0-6880-4568-B97B-4B68AB73BF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reports!$AE$14:$AE$18</c:f>
              <c:strCache>
                <c:ptCount val="4"/>
                <c:pt idx="0">
                  <c:v>East</c:v>
                </c:pt>
                <c:pt idx="1">
                  <c:v>North</c:v>
                </c:pt>
                <c:pt idx="2">
                  <c:v>South</c:v>
                </c:pt>
                <c:pt idx="3">
                  <c:v>West</c:v>
                </c:pt>
              </c:strCache>
            </c:strRef>
          </c:cat>
          <c:val>
            <c:numRef>
              <c:f>reports!$AG$14:$AG$18</c:f>
              <c:numCache>
                <c:formatCode>0.00%</c:formatCode>
                <c:ptCount val="4"/>
                <c:pt idx="0">
                  <c:v>0.24461966071539659</c:v>
                </c:pt>
                <c:pt idx="1">
                  <c:v>0.29614339768603998</c:v>
                </c:pt>
                <c:pt idx="2">
                  <c:v>0.17963813717931043</c:v>
                </c:pt>
                <c:pt idx="3">
                  <c:v>0.27959880441925294</c:v>
                </c:pt>
              </c:numCache>
            </c:numRef>
          </c:val>
          <c:extLst>
            <c:ext xmlns:c16="http://schemas.microsoft.com/office/drawing/2014/chart" uri="{C3380CC4-5D6E-409C-BE32-E72D297353CC}">
              <c16:uniqueId val="{00000011-6880-4568-B97B-4B68AB73BF46}"/>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reports!$AJ$2</c:f>
              <c:strCache>
                <c:ptCount val="1"/>
                <c:pt idx="0">
                  <c:v>Sum of Sales Amount</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reports!$AI$3:$AI$6</c:f>
              <c:strCache>
                <c:ptCount val="4"/>
                <c:pt idx="0">
                  <c:v>Q1</c:v>
                </c:pt>
                <c:pt idx="1">
                  <c:v>Q2</c:v>
                </c:pt>
                <c:pt idx="2">
                  <c:v>Q3</c:v>
                </c:pt>
                <c:pt idx="3">
                  <c:v>Q4</c:v>
                </c:pt>
              </c:strCache>
            </c:strRef>
          </c:cat>
          <c:val>
            <c:numRef>
              <c:f>reports!$AJ$3:$AJ$6</c:f>
              <c:numCache>
                <c:formatCode>General</c:formatCode>
                <c:ptCount val="4"/>
                <c:pt idx="0">
                  <c:v>3604360.0499999993</c:v>
                </c:pt>
                <c:pt idx="1">
                  <c:v>3879623.38</c:v>
                </c:pt>
                <c:pt idx="2">
                  <c:v>2573506.1700000004</c:v>
                </c:pt>
                <c:pt idx="3">
                  <c:v>3106295.4799999995</c:v>
                </c:pt>
              </c:numCache>
            </c:numRef>
          </c:val>
          <c:extLst>
            <c:ext xmlns:c16="http://schemas.microsoft.com/office/drawing/2014/chart" uri="{C3380CC4-5D6E-409C-BE32-E72D297353CC}">
              <c16:uniqueId val="{00000000-80E7-4998-9D61-0F47664C83B1}"/>
            </c:ext>
          </c:extLst>
        </c:ser>
        <c:dLbls>
          <c:showLegendKey val="0"/>
          <c:showVal val="1"/>
          <c:showCatName val="0"/>
          <c:showSerName val="0"/>
          <c:showPercent val="0"/>
          <c:showBubbleSize val="0"/>
        </c:dLbls>
        <c:axId val="535283263"/>
        <c:axId val="570490671"/>
        <c:axId val="527103711"/>
      </c:area3DChart>
      <c:catAx>
        <c:axId val="535283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90671"/>
        <c:crosses val="autoZero"/>
        <c:auto val="1"/>
        <c:lblAlgn val="ctr"/>
        <c:lblOffset val="100"/>
        <c:noMultiLvlLbl val="0"/>
      </c:catAx>
      <c:valAx>
        <c:axId val="570490671"/>
        <c:scaling>
          <c:orientation val="minMax"/>
        </c:scaling>
        <c:delete val="1"/>
        <c:axPos val="l"/>
        <c:numFmt formatCode="General" sourceLinked="1"/>
        <c:majorTickMark val="none"/>
        <c:minorTickMark val="none"/>
        <c:tickLblPos val="nextTo"/>
        <c:crossAx val="535283263"/>
        <c:crosses val="autoZero"/>
        <c:crossBetween val="midCat"/>
      </c:valAx>
      <c:serAx>
        <c:axId val="527103711"/>
        <c:scaling>
          <c:orientation val="minMax"/>
        </c:scaling>
        <c:delete val="1"/>
        <c:axPos val="b"/>
        <c:majorTickMark val="out"/>
        <c:minorTickMark val="none"/>
        <c:tickLblPos val="nextTo"/>
        <c:crossAx val="570490671"/>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accent1"/>
            </a:solidFill>
            <a:ln>
              <a:noFill/>
            </a:ln>
            <a:effectLst/>
          </c:spPr>
          <c:invertIfNegative val="0"/>
          <c:cat>
            <c:strRef>
              <c:f>reports!$AJ$34:$AJ$37</c:f>
              <c:strCache>
                <c:ptCount val="4"/>
                <c:pt idx="0">
                  <c:v>Delivered</c:v>
                </c:pt>
                <c:pt idx="1">
                  <c:v>Processing</c:v>
                </c:pt>
                <c:pt idx="2">
                  <c:v>Returned</c:v>
                </c:pt>
                <c:pt idx="3">
                  <c:v>Shipped</c:v>
                </c:pt>
              </c:strCache>
            </c:strRef>
          </c:cat>
          <c:val>
            <c:numRef>
              <c:f>reports!$AK$34:$AK$37</c:f>
              <c:numCache>
                <c:formatCode>General</c:formatCode>
                <c:ptCount val="4"/>
                <c:pt idx="0">
                  <c:v>127</c:v>
                </c:pt>
                <c:pt idx="1">
                  <c:v>48</c:v>
                </c:pt>
                <c:pt idx="2">
                  <c:v>39</c:v>
                </c:pt>
                <c:pt idx="3">
                  <c:v>35</c:v>
                </c:pt>
              </c:numCache>
            </c:numRef>
          </c:val>
          <c:extLst>
            <c:ext xmlns:c16="http://schemas.microsoft.com/office/drawing/2014/chart" uri="{C3380CC4-5D6E-409C-BE32-E72D297353CC}">
              <c16:uniqueId val="{00000000-45C7-4D5E-BB63-7D5A8DBA5B85}"/>
            </c:ext>
          </c:extLst>
        </c:ser>
        <c:dLbls>
          <c:showLegendKey val="0"/>
          <c:showVal val="0"/>
          <c:showCatName val="0"/>
          <c:showSerName val="0"/>
          <c:showPercent val="0"/>
          <c:showBubbleSize val="0"/>
        </c:dLbls>
        <c:gapWidth val="150"/>
        <c:overlap val="100"/>
        <c:axId val="68666064"/>
        <c:axId val="924703567"/>
      </c:barChart>
      <c:catAx>
        <c:axId val="6866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03567"/>
        <c:crosses val="autoZero"/>
        <c:auto val="1"/>
        <c:lblAlgn val="ctr"/>
        <c:lblOffset val="100"/>
        <c:noMultiLvlLbl val="0"/>
      </c:catAx>
      <c:valAx>
        <c:axId val="924703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data id="1">
      <cx:strDim type="cat">
        <cx:f>_xlchart.v1.3</cx:f>
      </cx:strDim>
      <cx:numDim type="size">
        <cx:f>_xlchart.v1.5</cx:f>
      </cx:numDim>
    </cx:data>
  </cx:chartData>
  <cx:chart>
    <cx:plotArea>
      <cx:plotAreaRegion>
        <cx:series layoutId="treemap" uniqueId="{00000000-BBC4-4901-B07C-52FFA246A07B}" formatIdx="0">
          <cx:dataLabels>
            <cx:visibility seriesName="0" categoryName="1" value="0"/>
          </cx:dataLabels>
          <cx:dataId val="0"/>
          <cx:layoutPr>
            <cx:parentLabelLayout val="overlapping"/>
          </cx:layoutPr>
        </cx:series>
        <cx:series layoutId="treemap" hidden="1" uniqueId="{00000001-BBC4-4901-B07C-52FFA246A07B}" formatIdx="1">
          <cx:dataLabels>
            <cx:visibility seriesName="0" categoryName="1" value="0"/>
          </cx:dataLabels>
          <cx:dataId val="1"/>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11CB-4956-BF50-294EA4A6F496}">
          <cx:tx>
            <cx:txData>
              <cx:f>_xlchart.v2.1</cx:f>
              <cx:v>Sum of Sales Amount</cx:v>
            </cx:txData>
          </cx:tx>
          <cx:dataLabels>
            <cx:visibility seriesName="0" categoryName="1" value="0"/>
            <cx:separator>, </cx:separator>
          </cx:dataLabels>
          <cx:dataId val="0"/>
          <cx:layoutPr/>
        </cx:series>
      </cx:plotAreaRegion>
      <cx:axis id="0" hidden="1">
        <cx:catScaling/>
        <cx:tickLabels/>
        <cx:txPr>
          <a:bodyPr spcFirstLastPara="1" vertOverflow="ellipsis" horzOverflow="overflow" wrap="square" lIns="0" tIns="0" rIns="0" bIns="0" anchor="ctr" anchorCtr="1"/>
          <a:lstStyle/>
          <a:p>
            <a:pPr algn="ctr" rtl="0">
              <a:defRPr>
                <a:ln>
                  <a:solidFill>
                    <a:schemeClr val="accent1"/>
                  </a:solidFill>
                </a:ln>
              </a:defRPr>
            </a:pPr>
            <a:endParaRPr lang="en-US" sz="900" b="0" i="0" u="none" strike="noStrike" baseline="0">
              <a:ln>
                <a:solidFill>
                  <a:schemeClr val="accent1"/>
                </a:solidFill>
              </a:ln>
              <a:solidFill>
                <a:sysClr val="windowText" lastClr="000000">
                  <a:lumMod val="65000"/>
                  <a:lumOff val="35000"/>
                </a:sysClr>
              </a:solidFill>
              <a:latin typeface="Calibri" panose="020F0502020204030204"/>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data id="1">
      <cx:strDim type="cat">
        <cx:f>_xlchart.v1.6</cx:f>
      </cx:strDim>
      <cx:numDim type="size">
        <cx:f>_xlchart.v1.8</cx:f>
      </cx:numDim>
    </cx:data>
  </cx:chartData>
  <cx:chart>
    <cx:plotArea>
      <cx:plotAreaRegion>
        <cx:series layoutId="treemap" uniqueId="{00000000-BBC4-4901-B07C-52FFA246A07B}" formatIdx="0">
          <cx:dataLabels>
            <cx:visibility seriesName="0" categoryName="0" value="1"/>
            <cx:separator>, </cx:separator>
          </cx:dataLabels>
          <cx:dataId val="0"/>
          <cx:layoutPr>
            <cx:parentLabelLayout val="overlapping"/>
          </cx:layoutPr>
        </cx:series>
        <cx:series layoutId="treemap" hidden="1" uniqueId="{00000001-BBC4-4901-B07C-52FFA246A07B}" formatIdx="1">
          <cx:dataLabels>
            <cx:visibility seriesName="0" categoryName="1" value="0"/>
          </cx:dataLabels>
          <cx:dataId val="1"/>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2.svg"/><Relationship Id="rId3" Type="http://schemas.openxmlformats.org/officeDocument/2006/relationships/chart" Target="../charts/chart2.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1.png"/><Relationship Id="rId2" Type="http://schemas.microsoft.com/office/2014/relationships/chartEx" Target="../charts/chartEx1.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microsoft.com/office/2014/relationships/chartEx" Target="../charts/chartEx2.xml"/><Relationship Id="rId15" Type="http://schemas.openxmlformats.org/officeDocument/2006/relationships/image" Target="../media/image9.png"/><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svg"/><Relationship Id="rId14" Type="http://schemas.openxmlformats.org/officeDocument/2006/relationships/hyperlink" Target="#reports!A1"/></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10.png"/><Relationship Id="rId1" Type="http://schemas.openxmlformats.org/officeDocument/2006/relationships/customXml" Target="../ink/ink1.xml"/><Relationship Id="rId6" Type="http://schemas.openxmlformats.org/officeDocument/2006/relationships/chart" Target="../charts/chart6.xml"/><Relationship Id="rId5" Type="http://schemas.microsoft.com/office/2014/relationships/chartEx" Target="../charts/chartEx3.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704850</xdr:colOff>
      <xdr:row>2</xdr:row>
      <xdr:rowOff>57150</xdr:rowOff>
    </xdr:from>
    <xdr:to>
      <xdr:col>9</xdr:col>
      <xdr:colOff>1266825</xdr:colOff>
      <xdr:row>8</xdr:row>
      <xdr:rowOff>180975</xdr:rowOff>
    </xdr:to>
    <xdr:sp macro="" textlink="">
      <xdr:nvSpPr>
        <xdr:cNvPr id="2" name="Rectangle 1">
          <a:extLst>
            <a:ext uri="{FF2B5EF4-FFF2-40B4-BE49-F238E27FC236}">
              <a16:creationId xmlns:a16="http://schemas.microsoft.com/office/drawing/2014/main" id="{8B1A0399-43BE-4DE6-8A7A-FDBA6614FA7C}"/>
            </a:ext>
          </a:extLst>
        </xdr:cNvPr>
        <xdr:cNvSpPr/>
      </xdr:nvSpPr>
      <xdr:spPr>
        <a:xfrm>
          <a:off x="3286125" y="438150"/>
          <a:ext cx="7524750" cy="12668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14</xdr:row>
      <xdr:rowOff>66675</xdr:rowOff>
    </xdr:from>
    <xdr:to>
      <xdr:col>3</xdr:col>
      <xdr:colOff>609600</xdr:colOff>
      <xdr:row>25</xdr:row>
      <xdr:rowOff>38100</xdr:rowOff>
    </xdr:to>
    <xdr:sp macro="" textlink="">
      <xdr:nvSpPr>
        <xdr:cNvPr id="3" name="Rectangle 2">
          <a:extLst>
            <a:ext uri="{FF2B5EF4-FFF2-40B4-BE49-F238E27FC236}">
              <a16:creationId xmlns:a16="http://schemas.microsoft.com/office/drawing/2014/main" id="{AF47E472-684F-4508-BA69-677737915DF3}"/>
            </a:ext>
          </a:extLst>
        </xdr:cNvPr>
        <xdr:cNvSpPr/>
      </xdr:nvSpPr>
      <xdr:spPr>
        <a:xfrm>
          <a:off x="66675" y="2733675"/>
          <a:ext cx="3124200" cy="2066925"/>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704850</xdr:colOff>
      <xdr:row>18</xdr:row>
      <xdr:rowOff>95250</xdr:rowOff>
    </xdr:from>
    <xdr:to>
      <xdr:col>7</xdr:col>
      <xdr:colOff>371475</xdr:colOff>
      <xdr:row>25</xdr:row>
      <xdr:rowOff>76200</xdr:rowOff>
    </xdr:to>
    <xdr:sp macro="" textlink="">
      <xdr:nvSpPr>
        <xdr:cNvPr id="4" name="Rectangle 3">
          <a:extLst>
            <a:ext uri="{FF2B5EF4-FFF2-40B4-BE49-F238E27FC236}">
              <a16:creationId xmlns:a16="http://schemas.microsoft.com/office/drawing/2014/main" id="{C407812F-9A6B-4058-B080-1DB3075CF06B}"/>
            </a:ext>
          </a:extLst>
        </xdr:cNvPr>
        <xdr:cNvSpPr/>
      </xdr:nvSpPr>
      <xdr:spPr>
        <a:xfrm>
          <a:off x="3286125" y="3524250"/>
          <a:ext cx="4686300" cy="131445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704851</xdr:colOff>
      <xdr:row>9</xdr:row>
      <xdr:rowOff>28575</xdr:rowOff>
    </xdr:from>
    <xdr:to>
      <xdr:col>7</xdr:col>
      <xdr:colOff>381000</xdr:colOff>
      <xdr:row>18</xdr:row>
      <xdr:rowOff>28575</xdr:rowOff>
    </xdr:to>
    <xdr:sp macro="" textlink="">
      <xdr:nvSpPr>
        <xdr:cNvPr id="5" name="Rectangle 4">
          <a:extLst>
            <a:ext uri="{FF2B5EF4-FFF2-40B4-BE49-F238E27FC236}">
              <a16:creationId xmlns:a16="http://schemas.microsoft.com/office/drawing/2014/main" id="{4F862B67-DA0A-48D0-9CB7-C2297919B61C}"/>
            </a:ext>
          </a:extLst>
        </xdr:cNvPr>
        <xdr:cNvSpPr/>
      </xdr:nvSpPr>
      <xdr:spPr>
        <a:xfrm>
          <a:off x="3286126" y="1743075"/>
          <a:ext cx="4695824" cy="171450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0</xdr:row>
      <xdr:rowOff>1</xdr:rowOff>
    </xdr:from>
    <xdr:to>
      <xdr:col>5</xdr:col>
      <xdr:colOff>1</xdr:colOff>
      <xdr:row>2</xdr:row>
      <xdr:rowOff>19439</xdr:rowOff>
    </xdr:to>
    <xdr:sp macro="" textlink="">
      <xdr:nvSpPr>
        <xdr:cNvPr id="6" name="Rectangle 5">
          <a:extLst>
            <a:ext uri="{FF2B5EF4-FFF2-40B4-BE49-F238E27FC236}">
              <a16:creationId xmlns:a16="http://schemas.microsoft.com/office/drawing/2014/main" id="{247BC945-CE51-4DF0-81F9-A26FE3948ABF}"/>
            </a:ext>
          </a:extLst>
        </xdr:cNvPr>
        <xdr:cNvSpPr/>
      </xdr:nvSpPr>
      <xdr:spPr>
        <a:xfrm>
          <a:off x="1" y="1"/>
          <a:ext cx="4867275" cy="400438"/>
        </a:xfrm>
        <a:prstGeom prst="rect">
          <a:avLst/>
        </a:prstGeom>
        <a:solidFill>
          <a:schemeClr val="accent1">
            <a:lumMod val="75000"/>
          </a:schemeClr>
        </a:solidFill>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709628</xdr:colOff>
      <xdr:row>2</xdr:row>
      <xdr:rowOff>28575</xdr:rowOff>
    </xdr:from>
    <xdr:to>
      <xdr:col>8</xdr:col>
      <xdr:colOff>866828</xdr:colOff>
      <xdr:row>8</xdr:row>
      <xdr:rowOff>181575</xdr:rowOff>
    </xdr:to>
    <mc:AlternateContent xmlns:mc="http://schemas.openxmlformats.org/markup-compatibility/2006">
      <mc:Choice xmlns:a14="http://schemas.microsoft.com/office/drawing/2010/main" Requires="a14">
        <xdr:graphicFrame macro="">
          <xdr:nvGraphicFramePr>
            <xdr:cNvPr id="7" name="Category 4">
              <a:extLst>
                <a:ext uri="{FF2B5EF4-FFF2-40B4-BE49-F238E27FC236}">
                  <a16:creationId xmlns:a16="http://schemas.microsoft.com/office/drawing/2014/main" id="{2D4C321E-5CA5-466B-BD47-562E93C2B6AD}"/>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8310578" y="409575"/>
              <a:ext cx="1224000" cy="12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933388</xdr:colOff>
      <xdr:row>2</xdr:row>
      <xdr:rowOff>49129</xdr:rowOff>
    </xdr:from>
    <xdr:to>
      <xdr:col>6</xdr:col>
      <xdr:colOff>823888</xdr:colOff>
      <xdr:row>9</xdr:row>
      <xdr:rowOff>11629</xdr:rowOff>
    </xdr:to>
    <mc:AlternateContent xmlns:mc="http://schemas.openxmlformats.org/markup-compatibility/2006">
      <mc:Choice xmlns:a14="http://schemas.microsoft.com/office/drawing/2010/main" Requires="a14">
        <xdr:graphicFrame macro="">
          <xdr:nvGraphicFramePr>
            <xdr:cNvPr id="8" name="Region 4">
              <a:extLst>
                <a:ext uri="{FF2B5EF4-FFF2-40B4-BE49-F238E27FC236}">
                  <a16:creationId xmlns:a16="http://schemas.microsoft.com/office/drawing/2014/main" id="{B373B106-564D-4521-8DFD-5ED0FF8119A4}"/>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5800663" y="430129"/>
              <a:ext cx="1224000" cy="12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375986</xdr:colOff>
      <xdr:row>44</xdr:row>
      <xdr:rowOff>131421</xdr:rowOff>
    </xdr:from>
    <xdr:to>
      <xdr:col>17</xdr:col>
      <xdr:colOff>436876</xdr:colOff>
      <xdr:row>49</xdr:row>
      <xdr:rowOff>144602</xdr:rowOff>
    </xdr:to>
    <mc:AlternateContent xmlns:mc="http://schemas.openxmlformats.org/markup-compatibility/2006">
      <mc:Choice xmlns:a14="http://schemas.microsoft.com/office/drawing/2010/main" Requires="a14">
        <xdr:graphicFrame macro="">
          <xdr:nvGraphicFramePr>
            <xdr:cNvPr id="9" name="Sales Amount 2">
              <a:extLst>
                <a:ext uri="{FF2B5EF4-FFF2-40B4-BE49-F238E27FC236}">
                  <a16:creationId xmlns:a16="http://schemas.microsoft.com/office/drawing/2014/main" id="{EA07BBEA-9826-45C7-AC92-7FD19A4F7D72}"/>
                </a:ext>
              </a:extLst>
            </xdr:cNvPr>
            <xdr:cNvGraphicFramePr/>
          </xdr:nvGraphicFramePr>
          <xdr:xfrm>
            <a:off x="0" y="0"/>
            <a:ext cx="0" cy="0"/>
          </xdr:xfrm>
          <a:graphic>
            <a:graphicData uri="http://schemas.microsoft.com/office/drawing/2010/slicer">
              <sle:slicer xmlns:sle="http://schemas.microsoft.com/office/drawing/2010/slicer" name="Sales Amount 2"/>
            </a:graphicData>
          </a:graphic>
        </xdr:graphicFrame>
      </mc:Choice>
      <mc:Fallback>
        <xdr:sp macro="" textlink="">
          <xdr:nvSpPr>
            <xdr:cNvPr id="0" name=""/>
            <xdr:cNvSpPr>
              <a:spLocks noTextEdit="1"/>
            </xdr:cNvSpPr>
          </xdr:nvSpPr>
          <xdr:spPr>
            <a:xfrm>
              <a:off x="15092111" y="8513421"/>
              <a:ext cx="1280090" cy="965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150393</xdr:colOff>
      <xdr:row>45</xdr:row>
      <xdr:rowOff>75198</xdr:rowOff>
    </xdr:from>
    <xdr:to>
      <xdr:col>22</xdr:col>
      <xdr:colOff>288096</xdr:colOff>
      <xdr:row>49</xdr:row>
      <xdr:rowOff>170416</xdr:rowOff>
    </xdr:to>
    <mc:AlternateContent xmlns:mc="http://schemas.openxmlformats.org/markup-compatibility/2006">
      <mc:Choice xmlns:a14="http://schemas.microsoft.com/office/drawing/2010/main" Requires="a14">
        <xdr:graphicFrame macro="">
          <xdr:nvGraphicFramePr>
            <xdr:cNvPr id="10" name="Product 3">
              <a:extLst>
                <a:ext uri="{FF2B5EF4-FFF2-40B4-BE49-F238E27FC236}">
                  <a16:creationId xmlns:a16="http://schemas.microsoft.com/office/drawing/2014/main" id="{2F2AF1B0-5C44-4EF1-9971-D29A21023313}"/>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17914518" y="8647698"/>
              <a:ext cx="1356903" cy="857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723899</xdr:colOff>
      <xdr:row>2</xdr:row>
      <xdr:rowOff>56146</xdr:rowOff>
    </xdr:from>
    <xdr:to>
      <xdr:col>4</xdr:col>
      <xdr:colOff>833474</xdr:colOff>
      <xdr:row>9</xdr:row>
      <xdr:rowOff>18646</xdr:rowOff>
    </xdr:to>
    <mc:AlternateContent xmlns:mc="http://schemas.openxmlformats.org/markup-compatibility/2006">
      <mc:Choice xmlns:a14="http://schemas.microsoft.com/office/drawing/2010/main" Requires="a14">
        <xdr:graphicFrame macro="">
          <xdr:nvGraphicFramePr>
            <xdr:cNvPr id="11" name="Quarter 1">
              <a:extLst>
                <a:ext uri="{FF2B5EF4-FFF2-40B4-BE49-F238E27FC236}">
                  <a16:creationId xmlns:a16="http://schemas.microsoft.com/office/drawing/2014/main" id="{C46F3B74-6717-484D-89C7-C1832394E997}"/>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3305174" y="437146"/>
              <a:ext cx="1224000" cy="12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733426</xdr:colOff>
      <xdr:row>9</xdr:row>
      <xdr:rowOff>76200</xdr:rowOff>
    </xdr:from>
    <xdr:to>
      <xdr:col>7</xdr:col>
      <xdr:colOff>342901</xdr:colOff>
      <xdr:row>17</xdr:row>
      <xdr:rowOff>161925</xdr:rowOff>
    </xdr:to>
    <xdr:graphicFrame macro="">
      <xdr:nvGraphicFramePr>
        <xdr:cNvPr id="12" name="Chart 11">
          <a:extLst>
            <a:ext uri="{FF2B5EF4-FFF2-40B4-BE49-F238E27FC236}">
              <a16:creationId xmlns:a16="http://schemas.microsoft.com/office/drawing/2014/main" id="{91C1D552-4B03-4EF4-AB83-80165538F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133350</xdr:colOff>
      <xdr:row>14</xdr:row>
      <xdr:rowOff>133350</xdr:rowOff>
    </xdr:from>
    <xdr:to>
      <xdr:col>3</xdr:col>
      <xdr:colOff>581025</xdr:colOff>
      <xdr:row>24</xdr:row>
      <xdr:rowOff>104775</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B9097C11-CA8B-468C-9741-B84BA378AF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3350" y="2800350"/>
              <a:ext cx="3028950" cy="1876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95250</xdr:colOff>
      <xdr:row>2</xdr:row>
      <xdr:rowOff>57150</xdr:rowOff>
    </xdr:from>
    <xdr:to>
      <xdr:col>3</xdr:col>
      <xdr:colOff>638175</xdr:colOff>
      <xdr:row>14</xdr:row>
      <xdr:rowOff>9525</xdr:rowOff>
    </xdr:to>
    <xdr:sp macro="" textlink="">
      <xdr:nvSpPr>
        <xdr:cNvPr id="14" name="Rectangle 13">
          <a:extLst>
            <a:ext uri="{FF2B5EF4-FFF2-40B4-BE49-F238E27FC236}">
              <a16:creationId xmlns:a16="http://schemas.microsoft.com/office/drawing/2014/main" id="{F5777556-BD4D-4615-A092-E9F9B2D9F77E}"/>
            </a:ext>
          </a:extLst>
        </xdr:cNvPr>
        <xdr:cNvSpPr/>
      </xdr:nvSpPr>
      <xdr:spPr>
        <a:xfrm>
          <a:off x="95250" y="438150"/>
          <a:ext cx="3124200" cy="2238375"/>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428625</xdr:colOff>
      <xdr:row>9</xdr:row>
      <xdr:rowOff>38099</xdr:rowOff>
    </xdr:from>
    <xdr:to>
      <xdr:col>10</xdr:col>
      <xdr:colOff>19051</xdr:colOff>
      <xdr:row>18</xdr:row>
      <xdr:rowOff>28574</xdr:rowOff>
    </xdr:to>
    <xdr:sp macro="" textlink="">
      <xdr:nvSpPr>
        <xdr:cNvPr id="15" name="Rectangle 14">
          <a:extLst>
            <a:ext uri="{FF2B5EF4-FFF2-40B4-BE49-F238E27FC236}">
              <a16:creationId xmlns:a16="http://schemas.microsoft.com/office/drawing/2014/main" id="{49BF1366-F45B-4A38-A007-7B3A55678BCF}"/>
            </a:ext>
          </a:extLst>
        </xdr:cNvPr>
        <xdr:cNvSpPr/>
      </xdr:nvSpPr>
      <xdr:spPr>
        <a:xfrm>
          <a:off x="8029575" y="1752599"/>
          <a:ext cx="2867026" cy="17049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476250</xdr:colOff>
      <xdr:row>9</xdr:row>
      <xdr:rowOff>76200</xdr:rowOff>
    </xdr:from>
    <xdr:to>
      <xdr:col>9</xdr:col>
      <xdr:colOff>1276350</xdr:colOff>
      <xdr:row>17</xdr:row>
      <xdr:rowOff>171449</xdr:rowOff>
    </xdr:to>
    <xdr:graphicFrame macro="">
      <xdr:nvGraphicFramePr>
        <xdr:cNvPr id="16" name="Chart 15">
          <a:extLst>
            <a:ext uri="{FF2B5EF4-FFF2-40B4-BE49-F238E27FC236}">
              <a16:creationId xmlns:a16="http://schemas.microsoft.com/office/drawing/2014/main" id="{F4AF49CE-2F67-4C2B-832B-AFF6653AC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9</xdr:col>
      <xdr:colOff>1295400</xdr:colOff>
      <xdr:row>2</xdr:row>
      <xdr:rowOff>19050</xdr:rowOff>
    </xdr:to>
    <xdr:sp macro="" textlink="">
      <xdr:nvSpPr>
        <xdr:cNvPr id="17" name="Rectangle 16">
          <a:extLst>
            <a:ext uri="{FF2B5EF4-FFF2-40B4-BE49-F238E27FC236}">
              <a16:creationId xmlns:a16="http://schemas.microsoft.com/office/drawing/2014/main" id="{B653890C-8EB0-4808-A643-93A82C88E7A6}"/>
            </a:ext>
          </a:extLst>
        </xdr:cNvPr>
        <xdr:cNvSpPr/>
      </xdr:nvSpPr>
      <xdr:spPr>
        <a:xfrm>
          <a:off x="0" y="0"/>
          <a:ext cx="10839450" cy="400050"/>
        </a:xfrm>
        <a:prstGeom prst="rect">
          <a:avLst/>
        </a:prstGeom>
        <a:solidFill>
          <a:schemeClr val="bg2">
            <a:lumMod val="50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SALES DASHBOARD</a:t>
          </a:r>
          <a:r>
            <a:rPr lang="en-IN" sz="2400" baseline="0"/>
            <a:t> 2026</a:t>
          </a:r>
        </a:p>
        <a:p>
          <a:pPr algn="l"/>
          <a:endParaRPr lang="en-IN" sz="2800"/>
        </a:p>
      </xdr:txBody>
    </xdr:sp>
    <xdr:clientData/>
  </xdr:twoCellAnchor>
  <xdr:twoCellAnchor editAs="oneCell">
    <xdr:from>
      <xdr:col>4</xdr:col>
      <xdr:colOff>847725</xdr:colOff>
      <xdr:row>2</xdr:row>
      <xdr:rowOff>38100</xdr:rowOff>
    </xdr:from>
    <xdr:to>
      <xdr:col>5</xdr:col>
      <xdr:colOff>900150</xdr:colOff>
      <xdr:row>9</xdr:row>
      <xdr:rowOff>600</xdr:rowOff>
    </xdr:to>
    <mc:AlternateContent xmlns:mc="http://schemas.openxmlformats.org/markup-compatibility/2006">
      <mc:Choice xmlns:a14="http://schemas.microsoft.com/office/drawing/2010/main" Requires="a14">
        <xdr:graphicFrame macro="">
          <xdr:nvGraphicFramePr>
            <xdr:cNvPr id="18" name="Order Status 1">
              <a:extLst>
                <a:ext uri="{FF2B5EF4-FFF2-40B4-BE49-F238E27FC236}">
                  <a16:creationId xmlns:a16="http://schemas.microsoft.com/office/drawing/2014/main" id="{489E1661-D4E5-4CD7-B804-1B0A2C14CD79}"/>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dr:sp macro="" textlink="">
          <xdr:nvSpPr>
            <xdr:cNvPr id="0" name=""/>
            <xdr:cNvSpPr>
              <a:spLocks noTextEdit="1"/>
            </xdr:cNvSpPr>
          </xdr:nvSpPr>
          <xdr:spPr>
            <a:xfrm>
              <a:off x="4543425" y="419100"/>
              <a:ext cx="1224000" cy="12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733425</xdr:colOff>
      <xdr:row>18</xdr:row>
      <xdr:rowOff>114300</xdr:rowOff>
    </xdr:from>
    <xdr:to>
      <xdr:col>7</xdr:col>
      <xdr:colOff>333375</xdr:colOff>
      <xdr:row>25</xdr:row>
      <xdr:rowOff>19049</xdr:rowOff>
    </xdr:to>
    <xdr:graphicFrame macro="">
      <xdr:nvGraphicFramePr>
        <xdr:cNvPr id="19" name="Chart 18">
          <a:extLst>
            <a:ext uri="{FF2B5EF4-FFF2-40B4-BE49-F238E27FC236}">
              <a16:creationId xmlns:a16="http://schemas.microsoft.com/office/drawing/2014/main" id="{F2A3BDA7-CA43-4DD9-BD48-0AB068D30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0</xdr:row>
      <xdr:rowOff>0</xdr:rowOff>
    </xdr:from>
    <xdr:to>
      <xdr:col>11</xdr:col>
      <xdr:colOff>190500</xdr:colOff>
      <xdr:row>25</xdr:row>
      <xdr:rowOff>66675</xdr:rowOff>
    </xdr:to>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43711EF5-B370-49BE-8B82-A6BC5C42CC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877550" y="0"/>
              <a:ext cx="1590675" cy="48291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28574</xdr:colOff>
      <xdr:row>2</xdr:row>
      <xdr:rowOff>38099</xdr:rowOff>
    </xdr:from>
    <xdr:to>
      <xdr:col>9</xdr:col>
      <xdr:colOff>1252574</xdr:colOff>
      <xdr:row>9</xdr:row>
      <xdr:rowOff>599</xdr:rowOff>
    </xdr:to>
    <mc:AlternateContent xmlns:mc="http://schemas.openxmlformats.org/markup-compatibility/2006">
      <mc:Choice xmlns:a14="http://schemas.microsoft.com/office/drawing/2010/main" Requires="a14">
        <xdr:graphicFrame macro="">
          <xdr:nvGraphicFramePr>
            <xdr:cNvPr id="21" name="State 1">
              <a:extLst>
                <a:ext uri="{FF2B5EF4-FFF2-40B4-BE49-F238E27FC236}">
                  <a16:creationId xmlns:a16="http://schemas.microsoft.com/office/drawing/2014/main" id="{6B513C70-5D67-41FF-AC5F-78976C88A73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9572624" y="419099"/>
              <a:ext cx="1224000" cy="12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504826</xdr:colOff>
      <xdr:row>4</xdr:row>
      <xdr:rowOff>38100</xdr:rowOff>
    </xdr:from>
    <xdr:to>
      <xdr:col>3</xdr:col>
      <xdr:colOff>609601</xdr:colOff>
      <xdr:row>5</xdr:row>
      <xdr:rowOff>95250</xdr:rowOff>
    </xdr:to>
    <xdr:sp macro="" textlink="[1]reports!AH42">
      <xdr:nvSpPr>
        <xdr:cNvPr id="22" name="Rectangle 21">
          <a:extLst>
            <a:ext uri="{FF2B5EF4-FFF2-40B4-BE49-F238E27FC236}">
              <a16:creationId xmlns:a16="http://schemas.microsoft.com/office/drawing/2014/main" id="{A6E792B9-0EFB-4BFB-B817-908ADDD8B5C7}"/>
            </a:ext>
          </a:extLst>
        </xdr:cNvPr>
        <xdr:cNvSpPr/>
      </xdr:nvSpPr>
      <xdr:spPr>
        <a:xfrm>
          <a:off x="1990726" y="800100"/>
          <a:ext cx="1200150" cy="247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CF9EA4E-2B2C-4271-9664-6716558C0A84}" type="TxLink">
            <a:rPr lang="en-US" sz="1100" b="0" i="0" u="none" strike="noStrike">
              <a:solidFill>
                <a:srgbClr val="000000"/>
              </a:solidFill>
              <a:latin typeface="Calibri"/>
              <a:ea typeface="Calibri"/>
              <a:cs typeface="Calibri"/>
            </a:rPr>
            <a:pPr algn="l"/>
            <a:t>₹1,07,98,287.39</a:t>
          </a:fld>
          <a:endParaRPr lang="en-IN" sz="1100"/>
        </a:p>
      </xdr:txBody>
    </xdr:sp>
    <xdr:clientData/>
  </xdr:twoCellAnchor>
  <xdr:twoCellAnchor>
    <xdr:from>
      <xdr:col>2</xdr:col>
      <xdr:colOff>542925</xdr:colOff>
      <xdr:row>2</xdr:row>
      <xdr:rowOff>180975</xdr:rowOff>
    </xdr:from>
    <xdr:to>
      <xdr:col>3</xdr:col>
      <xdr:colOff>523875</xdr:colOff>
      <xdr:row>4</xdr:row>
      <xdr:rowOff>19050</xdr:rowOff>
    </xdr:to>
    <xdr:sp macro="" textlink="">
      <xdr:nvSpPr>
        <xdr:cNvPr id="23" name="Rectangle 22">
          <a:extLst>
            <a:ext uri="{FF2B5EF4-FFF2-40B4-BE49-F238E27FC236}">
              <a16:creationId xmlns:a16="http://schemas.microsoft.com/office/drawing/2014/main" id="{B5341A48-4DEE-42F1-BCD4-5E327096AB5A}"/>
            </a:ext>
          </a:extLst>
        </xdr:cNvPr>
        <xdr:cNvSpPr/>
      </xdr:nvSpPr>
      <xdr:spPr>
        <a:xfrm rot="10800000" flipH="1" flipV="1">
          <a:off x="2028825" y="561975"/>
          <a:ext cx="1076325" cy="219075"/>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COST AMOUNT</a:t>
          </a:r>
        </a:p>
        <a:p>
          <a:pPr algn="l"/>
          <a:endParaRPr lang="en-IN" sz="1100"/>
        </a:p>
      </xdr:txBody>
    </xdr:sp>
    <xdr:clientData/>
  </xdr:twoCellAnchor>
  <xdr:twoCellAnchor>
    <xdr:from>
      <xdr:col>2</xdr:col>
      <xdr:colOff>485775</xdr:colOff>
      <xdr:row>7</xdr:row>
      <xdr:rowOff>180975</xdr:rowOff>
    </xdr:from>
    <xdr:to>
      <xdr:col>3</xdr:col>
      <xdr:colOff>609600</xdr:colOff>
      <xdr:row>9</xdr:row>
      <xdr:rowOff>19050</xdr:rowOff>
    </xdr:to>
    <xdr:sp macro="" textlink="[1]reports!AE37">
      <xdr:nvSpPr>
        <xdr:cNvPr id="24" name="Rectangle 23">
          <a:extLst>
            <a:ext uri="{FF2B5EF4-FFF2-40B4-BE49-F238E27FC236}">
              <a16:creationId xmlns:a16="http://schemas.microsoft.com/office/drawing/2014/main" id="{A4ACDB09-F989-43F8-9D7B-66B58096BB70}"/>
            </a:ext>
          </a:extLst>
        </xdr:cNvPr>
        <xdr:cNvSpPr/>
      </xdr:nvSpPr>
      <xdr:spPr>
        <a:xfrm>
          <a:off x="1971675" y="1514475"/>
          <a:ext cx="1219200" cy="2190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BFFBC7A-0ACA-4818-8436-037F08D0E506}" type="TxLink">
            <a:rPr lang="en-US" sz="1100" b="0" i="0" u="none" strike="noStrike">
              <a:solidFill>
                <a:srgbClr val="000000"/>
              </a:solidFill>
              <a:latin typeface="Calibri"/>
              <a:ea typeface="Calibri"/>
              <a:cs typeface="Calibri"/>
            </a:rPr>
            <a:pPr algn="l"/>
            <a:t>₹1,31,63,785.08</a:t>
          </a:fld>
          <a:endParaRPr lang="en-IN" sz="1100"/>
        </a:p>
      </xdr:txBody>
    </xdr:sp>
    <xdr:clientData/>
  </xdr:twoCellAnchor>
  <xdr:twoCellAnchor>
    <xdr:from>
      <xdr:col>2</xdr:col>
      <xdr:colOff>466726</xdr:colOff>
      <xdr:row>11</xdr:row>
      <xdr:rowOff>95250</xdr:rowOff>
    </xdr:from>
    <xdr:to>
      <xdr:col>3</xdr:col>
      <xdr:colOff>600075</xdr:colOff>
      <xdr:row>12</xdr:row>
      <xdr:rowOff>141708</xdr:rowOff>
    </xdr:to>
    <xdr:sp macro="" textlink="[1]reports!AE32">
      <xdr:nvSpPr>
        <xdr:cNvPr id="25" name="Rectangle 24">
          <a:extLst>
            <a:ext uri="{FF2B5EF4-FFF2-40B4-BE49-F238E27FC236}">
              <a16:creationId xmlns:a16="http://schemas.microsoft.com/office/drawing/2014/main" id="{1421BAA3-32F9-42C9-8181-2CB0E4CE7534}"/>
            </a:ext>
          </a:extLst>
        </xdr:cNvPr>
        <xdr:cNvSpPr/>
      </xdr:nvSpPr>
      <xdr:spPr>
        <a:xfrm>
          <a:off x="1952626" y="2190750"/>
          <a:ext cx="1228724" cy="23695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6DE6CD0-2958-4FDA-9532-C294710F246E}" type="TxLink">
            <a:rPr lang="en-US" sz="1100" b="0" i="0" u="none" strike="noStrike">
              <a:solidFill>
                <a:srgbClr val="000000"/>
              </a:solidFill>
              <a:latin typeface="Calibri"/>
              <a:ea typeface="Calibri"/>
              <a:cs typeface="Calibri"/>
            </a:rPr>
            <a:pPr algn="l"/>
            <a:t>₹23,65,497.69</a:t>
          </a:fld>
          <a:endParaRPr lang="en-IN" sz="1100"/>
        </a:p>
      </xdr:txBody>
    </xdr:sp>
    <xdr:clientData/>
  </xdr:twoCellAnchor>
  <xdr:twoCellAnchor>
    <xdr:from>
      <xdr:col>2</xdr:col>
      <xdr:colOff>447675</xdr:colOff>
      <xdr:row>6</xdr:row>
      <xdr:rowOff>142875</xdr:rowOff>
    </xdr:from>
    <xdr:to>
      <xdr:col>3</xdr:col>
      <xdr:colOff>504825</xdr:colOff>
      <xdr:row>7</xdr:row>
      <xdr:rowOff>161925</xdr:rowOff>
    </xdr:to>
    <xdr:sp macro="" textlink="">
      <xdr:nvSpPr>
        <xdr:cNvPr id="26" name="Rectangle 25">
          <a:extLst>
            <a:ext uri="{FF2B5EF4-FFF2-40B4-BE49-F238E27FC236}">
              <a16:creationId xmlns:a16="http://schemas.microsoft.com/office/drawing/2014/main" id="{DACD8AE3-4CD3-4487-A986-033FBA7B01CD}"/>
            </a:ext>
          </a:extLst>
        </xdr:cNvPr>
        <xdr:cNvSpPr/>
      </xdr:nvSpPr>
      <xdr:spPr>
        <a:xfrm>
          <a:off x="1933575" y="1285875"/>
          <a:ext cx="1152525" cy="20955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SALES AMOUNT</a:t>
          </a:r>
        </a:p>
        <a:p>
          <a:pPr algn="l"/>
          <a:endParaRPr lang="en-IN" sz="1100"/>
        </a:p>
      </xdr:txBody>
    </xdr:sp>
    <xdr:clientData/>
  </xdr:twoCellAnchor>
  <xdr:twoCellAnchor>
    <xdr:from>
      <xdr:col>2</xdr:col>
      <xdr:colOff>447675</xdr:colOff>
      <xdr:row>10</xdr:row>
      <xdr:rowOff>57150</xdr:rowOff>
    </xdr:from>
    <xdr:to>
      <xdr:col>3</xdr:col>
      <xdr:colOff>618735</xdr:colOff>
      <xdr:row>11</xdr:row>
      <xdr:rowOff>86308</xdr:rowOff>
    </xdr:to>
    <xdr:sp macro="" textlink="">
      <xdr:nvSpPr>
        <xdr:cNvPr id="27" name="Rectangle 26">
          <a:extLst>
            <a:ext uri="{FF2B5EF4-FFF2-40B4-BE49-F238E27FC236}">
              <a16:creationId xmlns:a16="http://schemas.microsoft.com/office/drawing/2014/main" id="{E2A6BA06-841A-41D5-91AF-E3CA37EE0837}"/>
            </a:ext>
          </a:extLst>
        </xdr:cNvPr>
        <xdr:cNvSpPr/>
      </xdr:nvSpPr>
      <xdr:spPr>
        <a:xfrm>
          <a:off x="1933575" y="1962150"/>
          <a:ext cx="1266435" cy="219658"/>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PROFIT AMOUNT</a:t>
          </a:r>
        </a:p>
        <a:p>
          <a:pPr algn="l"/>
          <a:endParaRPr lang="en-IN" sz="1100"/>
        </a:p>
      </xdr:txBody>
    </xdr:sp>
    <xdr:clientData/>
  </xdr:twoCellAnchor>
  <xdr:twoCellAnchor editAs="oneCell">
    <xdr:from>
      <xdr:col>0</xdr:col>
      <xdr:colOff>381000</xdr:colOff>
      <xdr:row>2</xdr:row>
      <xdr:rowOff>190499</xdr:rowOff>
    </xdr:from>
    <xdr:to>
      <xdr:col>2</xdr:col>
      <xdr:colOff>314325</xdr:colOff>
      <xdr:row>5</xdr:row>
      <xdr:rowOff>171450</xdr:rowOff>
    </xdr:to>
    <xdr:pic>
      <xdr:nvPicPr>
        <xdr:cNvPr id="28" name="Graphic 1" descr="Bar graph with upward trend with solid fill">
          <a:extLst>
            <a:ext uri="{FF2B5EF4-FFF2-40B4-BE49-F238E27FC236}">
              <a16:creationId xmlns:a16="http://schemas.microsoft.com/office/drawing/2014/main" id="{BBAAC49E-5C2A-4DB4-99F3-EBC000D6720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1000" y="571499"/>
          <a:ext cx="1419225" cy="552451"/>
        </a:xfrm>
        <a:prstGeom prst="rect">
          <a:avLst/>
        </a:prstGeom>
      </xdr:spPr>
    </xdr:pic>
    <xdr:clientData/>
  </xdr:twoCellAnchor>
  <xdr:twoCellAnchor editAs="oneCell">
    <xdr:from>
      <xdr:col>0</xdr:col>
      <xdr:colOff>590550</xdr:colOff>
      <xdr:row>9</xdr:row>
      <xdr:rowOff>152399</xdr:rowOff>
    </xdr:from>
    <xdr:to>
      <xdr:col>2</xdr:col>
      <xdr:colOff>19050</xdr:colOff>
      <xdr:row>14</xdr:row>
      <xdr:rowOff>28574</xdr:rowOff>
    </xdr:to>
    <xdr:pic>
      <xdr:nvPicPr>
        <xdr:cNvPr id="29" name="Graphic 28" descr="Bank with solid fill">
          <a:extLst>
            <a:ext uri="{FF2B5EF4-FFF2-40B4-BE49-F238E27FC236}">
              <a16:creationId xmlns:a16="http://schemas.microsoft.com/office/drawing/2014/main" id="{FAFD52AC-3229-4EF5-8AC0-E2ABB5A7DD1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90550" y="1866899"/>
          <a:ext cx="914400" cy="828675"/>
        </a:xfrm>
        <a:prstGeom prst="rect">
          <a:avLst/>
        </a:prstGeom>
      </xdr:spPr>
    </xdr:pic>
    <xdr:clientData/>
  </xdr:twoCellAnchor>
  <xdr:twoCellAnchor editAs="oneCell">
    <xdr:from>
      <xdr:col>3</xdr:col>
      <xdr:colOff>147600</xdr:colOff>
      <xdr:row>0</xdr:row>
      <xdr:rowOff>0</xdr:rowOff>
    </xdr:from>
    <xdr:to>
      <xdr:col>3</xdr:col>
      <xdr:colOff>1062000</xdr:colOff>
      <xdr:row>2</xdr:row>
      <xdr:rowOff>9525</xdr:rowOff>
    </xdr:to>
    <xdr:pic>
      <xdr:nvPicPr>
        <xdr:cNvPr id="30" name="Graphic 29" descr="Connections with solid fill">
          <a:extLst>
            <a:ext uri="{FF2B5EF4-FFF2-40B4-BE49-F238E27FC236}">
              <a16:creationId xmlns:a16="http://schemas.microsoft.com/office/drawing/2014/main" id="{0DB2FFCD-FBC8-45E2-9592-7A28C403C3D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728875" y="0"/>
          <a:ext cx="914400" cy="390525"/>
        </a:xfrm>
        <a:prstGeom prst="rect">
          <a:avLst/>
        </a:prstGeom>
      </xdr:spPr>
    </xdr:pic>
    <xdr:clientData/>
  </xdr:twoCellAnchor>
  <xdr:twoCellAnchor editAs="oneCell">
    <xdr:from>
      <xdr:col>0</xdr:col>
      <xdr:colOff>581025</xdr:colOff>
      <xdr:row>5</xdr:row>
      <xdr:rowOff>161925</xdr:rowOff>
    </xdr:from>
    <xdr:to>
      <xdr:col>2</xdr:col>
      <xdr:colOff>9525</xdr:colOff>
      <xdr:row>10</xdr:row>
      <xdr:rowOff>19050</xdr:rowOff>
    </xdr:to>
    <xdr:pic>
      <xdr:nvPicPr>
        <xdr:cNvPr id="31" name="Graphic 30" descr="Bullseye with solid fill">
          <a:extLst>
            <a:ext uri="{FF2B5EF4-FFF2-40B4-BE49-F238E27FC236}">
              <a16:creationId xmlns:a16="http://schemas.microsoft.com/office/drawing/2014/main" id="{5AB02936-ED25-4277-B7E1-47A32ECD258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81025" y="1114425"/>
          <a:ext cx="914400" cy="809625"/>
        </a:xfrm>
        <a:prstGeom prst="rect">
          <a:avLst/>
        </a:prstGeom>
      </xdr:spPr>
    </xdr:pic>
    <xdr:clientData/>
  </xdr:twoCellAnchor>
  <xdr:twoCellAnchor>
    <xdr:from>
      <xdr:col>7</xdr:col>
      <xdr:colOff>438150</xdr:colOff>
      <xdr:row>18</xdr:row>
      <xdr:rowOff>114300</xdr:rowOff>
    </xdr:from>
    <xdr:to>
      <xdr:col>9</xdr:col>
      <xdr:colOff>1304925</xdr:colOff>
      <xdr:row>25</xdr:row>
      <xdr:rowOff>66675</xdr:rowOff>
    </xdr:to>
    <xdr:sp macro="" textlink="">
      <xdr:nvSpPr>
        <xdr:cNvPr id="32" name="Rectangle 31">
          <a:extLst>
            <a:ext uri="{FF2B5EF4-FFF2-40B4-BE49-F238E27FC236}">
              <a16:creationId xmlns:a16="http://schemas.microsoft.com/office/drawing/2014/main" id="{CB66F7D5-F7BC-47A3-98A5-CD3A13E03451}"/>
            </a:ext>
          </a:extLst>
        </xdr:cNvPr>
        <xdr:cNvSpPr/>
      </xdr:nvSpPr>
      <xdr:spPr>
        <a:xfrm>
          <a:off x="8039100" y="3543300"/>
          <a:ext cx="2809875" cy="12858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847725</xdr:colOff>
      <xdr:row>2</xdr:row>
      <xdr:rowOff>38099</xdr:rowOff>
    </xdr:from>
    <xdr:to>
      <xdr:col>7</xdr:col>
      <xdr:colOff>671550</xdr:colOff>
      <xdr:row>9</xdr:row>
      <xdr:rowOff>599</xdr:rowOff>
    </xdr:to>
    <mc:AlternateContent xmlns:mc="http://schemas.openxmlformats.org/markup-compatibility/2006">
      <mc:Choice xmlns:a14="http://schemas.microsoft.com/office/drawing/2010/main" Requires="a14">
        <xdr:graphicFrame macro="">
          <xdr:nvGraphicFramePr>
            <xdr:cNvPr id="33" name="Payment Mode 3">
              <a:extLst>
                <a:ext uri="{FF2B5EF4-FFF2-40B4-BE49-F238E27FC236}">
                  <a16:creationId xmlns:a16="http://schemas.microsoft.com/office/drawing/2014/main" id="{947C5517-CA1C-42AC-986F-22076076B81F}"/>
                </a:ext>
              </a:extLst>
            </xdr:cNvPr>
            <xdr:cNvGraphicFramePr/>
          </xdr:nvGraphicFramePr>
          <xdr:xfrm>
            <a:off x="0" y="0"/>
            <a:ext cx="0" cy="0"/>
          </xdr:xfrm>
          <a:graphic>
            <a:graphicData uri="http://schemas.microsoft.com/office/drawing/2010/slicer">
              <sle:slicer xmlns:sle="http://schemas.microsoft.com/office/drawing/2010/slicer" name="Payment Mode 3"/>
            </a:graphicData>
          </a:graphic>
        </xdr:graphicFrame>
      </mc:Choice>
      <mc:Fallback>
        <xdr:sp macro="" textlink="">
          <xdr:nvSpPr>
            <xdr:cNvPr id="0" name=""/>
            <xdr:cNvSpPr>
              <a:spLocks noTextEdit="1"/>
            </xdr:cNvSpPr>
          </xdr:nvSpPr>
          <xdr:spPr>
            <a:xfrm>
              <a:off x="7048500" y="419099"/>
              <a:ext cx="1224000" cy="12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819150</xdr:colOff>
      <xdr:row>18</xdr:row>
      <xdr:rowOff>104775</xdr:rowOff>
    </xdr:from>
    <xdr:to>
      <xdr:col>8</xdr:col>
      <xdr:colOff>666750</xdr:colOff>
      <xdr:row>24</xdr:row>
      <xdr:rowOff>95250</xdr:rowOff>
    </xdr:to>
    <xdr:pic>
      <xdr:nvPicPr>
        <xdr:cNvPr id="34" name="Graphic 33" descr="Database with solid fill">
          <a:hlinkClick xmlns:r="http://schemas.openxmlformats.org/officeDocument/2006/relationships" r:id="rId14"/>
          <a:extLst>
            <a:ext uri="{FF2B5EF4-FFF2-40B4-BE49-F238E27FC236}">
              <a16:creationId xmlns:a16="http://schemas.microsoft.com/office/drawing/2014/main" id="{EAF63664-1524-4F2A-803F-22648D9AEE7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420100" y="3533775"/>
          <a:ext cx="914400" cy="1133475"/>
        </a:xfrm>
        <a:prstGeom prst="rect">
          <a:avLst/>
        </a:prstGeom>
      </xdr:spPr>
    </xdr:pic>
    <xdr:clientData/>
  </xdr:twoCellAnchor>
  <xdr:twoCellAnchor editAs="oneCell">
    <xdr:from>
      <xdr:col>8</xdr:col>
      <xdr:colOff>845325</xdr:colOff>
      <xdr:row>19</xdr:row>
      <xdr:rowOff>64275</xdr:rowOff>
    </xdr:from>
    <xdr:to>
      <xdr:col>9</xdr:col>
      <xdr:colOff>883425</xdr:colOff>
      <xdr:row>24</xdr:row>
      <xdr:rowOff>26175</xdr:rowOff>
    </xdr:to>
    <xdr:pic>
      <xdr:nvPicPr>
        <xdr:cNvPr id="35" name="Graphic 34" descr="Document with solid fill">
          <a:hlinkClick xmlns:r="http://schemas.openxmlformats.org/officeDocument/2006/relationships" r:id="rId14"/>
          <a:extLst>
            <a:ext uri="{FF2B5EF4-FFF2-40B4-BE49-F238E27FC236}">
              <a16:creationId xmlns:a16="http://schemas.microsoft.com/office/drawing/2014/main" id="{744DDD88-18EF-4547-8077-5DE0F5925B9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513075" y="3683775"/>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772564</xdr:colOff>
      <xdr:row>11</xdr:row>
      <xdr:rowOff>107732</xdr:rowOff>
    </xdr:from>
    <xdr:to>
      <xdr:col>23</xdr:col>
      <xdr:colOff>772924</xdr:colOff>
      <xdr:row>11</xdr:row>
      <xdr:rowOff>108092</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EBE9EAE7-316E-477C-B855-AFA130487CF5}"/>
                </a:ext>
              </a:extLst>
            </xdr14:cNvPr>
            <xdr14:cNvContentPartPr/>
          </xdr14:nvContentPartPr>
          <xdr14:nvPr macro=""/>
          <xdr14:xfrm>
            <a:off x="19517045" y="1994760"/>
            <a:ext cx="360" cy="360"/>
          </xdr14:xfrm>
        </xdr:contentPart>
      </mc:Choice>
      <mc:Fallback xmlns="">
        <xdr:pic>
          <xdr:nvPicPr>
            <xdr:cNvPr id="10" name="Ink 9">
              <a:extLst>
                <a:ext uri="{FF2B5EF4-FFF2-40B4-BE49-F238E27FC236}">
                  <a16:creationId xmlns:a16="http://schemas.microsoft.com/office/drawing/2014/main" id="{6E0E9AEE-7B76-A4E7-3A4C-C5F9E6E8D6AE}"/>
                </a:ext>
              </a:extLst>
            </xdr:cNvPr>
            <xdr:cNvPicPr/>
          </xdr:nvPicPr>
          <xdr:blipFill>
            <a:blip xmlns:r="http://schemas.openxmlformats.org/officeDocument/2006/relationships" r:embed="rId2"/>
            <a:stretch>
              <a:fillRect/>
            </a:stretch>
          </xdr:blipFill>
          <xdr:spPr>
            <a:xfrm>
              <a:off x="19510925" y="1988640"/>
              <a:ext cx="12600" cy="12600"/>
            </a:xfrm>
            <a:prstGeom prst="rect">
              <a:avLst/>
            </a:prstGeom>
          </xdr:spPr>
        </xdr:pic>
      </mc:Fallback>
    </mc:AlternateContent>
    <xdr:clientData/>
  </xdr:twoCellAnchor>
  <xdr:twoCellAnchor>
    <xdr:from>
      <xdr:col>36</xdr:col>
      <xdr:colOff>1452117</xdr:colOff>
      <xdr:row>0</xdr:row>
      <xdr:rowOff>85864</xdr:rowOff>
    </xdr:from>
    <xdr:to>
      <xdr:col>38</xdr:col>
      <xdr:colOff>1530688</xdr:colOff>
      <xdr:row>10</xdr:row>
      <xdr:rowOff>74578</xdr:rowOff>
    </xdr:to>
    <xdr:graphicFrame macro="">
      <xdr:nvGraphicFramePr>
        <xdr:cNvPr id="3" name="Chart 2">
          <a:extLst>
            <a:ext uri="{FF2B5EF4-FFF2-40B4-BE49-F238E27FC236}">
              <a16:creationId xmlns:a16="http://schemas.microsoft.com/office/drawing/2014/main" id="{22E7090E-4227-43AA-9C06-780CDD316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39</xdr:col>
      <xdr:colOff>487948</xdr:colOff>
      <xdr:row>0</xdr:row>
      <xdr:rowOff>115637</xdr:rowOff>
    </xdr:from>
    <xdr:to>
      <xdr:col>46</xdr:col>
      <xdr:colOff>0</xdr:colOff>
      <xdr:row>10</xdr:row>
      <xdr:rowOff>173182</xdr:rowOff>
    </xdr:to>
    <xdr:graphicFrame macro="">
      <xdr:nvGraphicFramePr>
        <xdr:cNvPr id="4" name="Chart 3">
          <a:extLst>
            <a:ext uri="{FF2B5EF4-FFF2-40B4-BE49-F238E27FC236}">
              <a16:creationId xmlns:a16="http://schemas.microsoft.com/office/drawing/2014/main" id="{304EB6EB-5213-4E64-965E-C9F92B20C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24611</xdr:colOff>
      <xdr:row>15</xdr:row>
      <xdr:rowOff>7955</xdr:rowOff>
    </xdr:from>
    <xdr:to>
      <xdr:col>28</xdr:col>
      <xdr:colOff>0</xdr:colOff>
      <xdr:row>19</xdr:row>
      <xdr:rowOff>97967</xdr:rowOff>
    </xdr:to>
    <mc:AlternateContent xmlns:mc="http://schemas.openxmlformats.org/markup-compatibility/2006" xmlns:a14="http://schemas.microsoft.com/office/drawing/2010/main">
      <mc:Choice Requires="a14">
        <xdr:graphicFrame macro="">
          <xdr:nvGraphicFramePr>
            <xdr:cNvPr id="5" name="Quarter">
              <a:extLst>
                <a:ext uri="{FF2B5EF4-FFF2-40B4-BE49-F238E27FC236}">
                  <a16:creationId xmlns:a16="http://schemas.microsoft.com/office/drawing/2014/main" id="{8DD4ABE4-7823-4BC6-A3ED-789D7D85AB0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8247186" y="2865455"/>
              <a:ext cx="1832764" cy="852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181118</xdr:colOff>
      <xdr:row>1</xdr:row>
      <xdr:rowOff>427</xdr:rowOff>
    </xdr:from>
    <xdr:to>
      <xdr:col>28</xdr:col>
      <xdr:colOff>1809749</xdr:colOff>
      <xdr:row>5</xdr:row>
      <xdr:rowOff>181401</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AA298BD0-C4AD-493C-BEBF-94818B6ADB6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0261068" y="190927"/>
              <a:ext cx="1628631" cy="942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62111</xdr:colOff>
      <xdr:row>7</xdr:row>
      <xdr:rowOff>18917</xdr:rowOff>
    </xdr:from>
    <xdr:to>
      <xdr:col>29</xdr:col>
      <xdr:colOff>28575</xdr:colOff>
      <xdr:row>13</xdr:row>
      <xdr:rowOff>161924</xdr:rowOff>
    </xdr:to>
    <mc:AlternateContent xmlns:mc="http://schemas.openxmlformats.org/markup-compatibility/2006" xmlns:a14="http://schemas.microsoft.com/office/drawing/2010/main">
      <mc:Choice Requires="a14">
        <xdr:graphicFrame macro="">
          <xdr:nvGraphicFramePr>
            <xdr:cNvPr id="7" name="Category 2">
              <a:extLst>
                <a:ext uri="{FF2B5EF4-FFF2-40B4-BE49-F238E27FC236}">
                  <a16:creationId xmlns:a16="http://schemas.microsoft.com/office/drawing/2014/main" id="{BFDB105C-ED15-46FA-9AF9-377DC08B7D4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30142061" y="1352417"/>
              <a:ext cx="1785739" cy="1286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600075</xdr:colOff>
      <xdr:row>0</xdr:row>
      <xdr:rowOff>118600</xdr:rowOff>
    </xdr:from>
    <xdr:to>
      <xdr:col>27</xdr:col>
      <xdr:colOff>1238250</xdr:colOff>
      <xdr:row>5</xdr:row>
      <xdr:rowOff>171450</xdr:rowOff>
    </xdr:to>
    <mc:AlternateContent xmlns:mc="http://schemas.openxmlformats.org/markup-compatibility/2006" xmlns:a14="http://schemas.microsoft.com/office/drawing/2010/main">
      <mc:Choice Requires="a14">
        <xdr:graphicFrame macro="">
          <xdr:nvGraphicFramePr>
            <xdr:cNvPr id="8" name="Payment Mode 1">
              <a:extLst>
                <a:ext uri="{FF2B5EF4-FFF2-40B4-BE49-F238E27FC236}">
                  <a16:creationId xmlns:a16="http://schemas.microsoft.com/office/drawing/2014/main" id="{4F8F81E1-8122-4C07-B73A-A6B3E73FF17C}"/>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28213050" y="118600"/>
              <a:ext cx="1857375" cy="100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116256</xdr:colOff>
      <xdr:row>12</xdr:row>
      <xdr:rowOff>793</xdr:rowOff>
    </xdr:from>
    <xdr:to>
      <xdr:col>41</xdr:col>
      <xdr:colOff>227411</xdr:colOff>
      <xdr:row>26</xdr:row>
      <xdr:rowOff>118398</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8D5E7D83-330B-4167-A2DF-8EB45C01DF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149956" y="2286793"/>
              <a:ext cx="4587905" cy="27846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49</xdr:col>
      <xdr:colOff>135009</xdr:colOff>
      <xdr:row>25</xdr:row>
      <xdr:rowOff>46501</xdr:rowOff>
    </xdr:from>
    <xdr:to>
      <xdr:col>52</xdr:col>
      <xdr:colOff>124982</xdr:colOff>
      <xdr:row>27</xdr:row>
      <xdr:rowOff>16422</xdr:rowOff>
    </xdr:to>
    <xdr:sp macro="" textlink="$AE$32">
      <xdr:nvSpPr>
        <xdr:cNvPr id="10" name="Rectangle 9">
          <a:extLst>
            <a:ext uri="{FF2B5EF4-FFF2-40B4-BE49-F238E27FC236}">
              <a16:creationId xmlns:a16="http://schemas.microsoft.com/office/drawing/2014/main" id="{448EAD76-B934-4F93-8FE4-27936300E820}"/>
            </a:ext>
          </a:extLst>
        </xdr:cNvPr>
        <xdr:cNvSpPr/>
      </xdr:nvSpPr>
      <xdr:spPr>
        <a:xfrm>
          <a:off x="52227234" y="4809001"/>
          <a:ext cx="1818773" cy="350921"/>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A55DE09-ECD6-434D-868B-216E4888A228}" type="TxLink">
            <a:rPr lang="en-US" sz="1100" b="0" i="0" u="none" strike="noStrike">
              <a:solidFill>
                <a:srgbClr val="000000"/>
              </a:solidFill>
              <a:latin typeface="Calibri"/>
              <a:ea typeface="Calibri"/>
              <a:cs typeface="Calibri"/>
            </a:rPr>
            <a:pPr algn="l"/>
            <a:t>₹23,65,497.69</a:t>
          </a:fld>
          <a:endParaRPr lang="en-IN" sz="1100"/>
        </a:p>
      </xdr:txBody>
    </xdr:sp>
    <xdr:clientData/>
  </xdr:twoCellAnchor>
  <xdr:twoCellAnchor>
    <xdr:from>
      <xdr:col>53</xdr:col>
      <xdr:colOff>230605</xdr:colOff>
      <xdr:row>25</xdr:row>
      <xdr:rowOff>40105</xdr:rowOff>
    </xdr:from>
    <xdr:to>
      <xdr:col>56</xdr:col>
      <xdr:colOff>220578</xdr:colOff>
      <xdr:row>27</xdr:row>
      <xdr:rowOff>10026</xdr:rowOff>
    </xdr:to>
    <xdr:sp macro="" textlink="$AE$37">
      <xdr:nvSpPr>
        <xdr:cNvPr id="11" name="Rectangle 10">
          <a:extLst>
            <a:ext uri="{FF2B5EF4-FFF2-40B4-BE49-F238E27FC236}">
              <a16:creationId xmlns:a16="http://schemas.microsoft.com/office/drawing/2014/main" id="{085C3DE8-588E-4056-ABC9-6FBDC9E8C1B6}"/>
            </a:ext>
          </a:extLst>
        </xdr:cNvPr>
        <xdr:cNvSpPr/>
      </xdr:nvSpPr>
      <xdr:spPr>
        <a:xfrm>
          <a:off x="54761230" y="4802605"/>
          <a:ext cx="1818773" cy="350921"/>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7EB4ABA-07D1-4335-9623-9733EC000DB8}" type="TxLink">
            <a:rPr lang="en-US" sz="1100" b="0" i="0" u="none" strike="noStrike">
              <a:solidFill>
                <a:srgbClr val="000000"/>
              </a:solidFill>
              <a:latin typeface="Calibri"/>
              <a:ea typeface="Calibri"/>
              <a:cs typeface="Calibri"/>
            </a:rPr>
            <a:pPr algn="l"/>
            <a:t>₹1,31,63,785.08</a:t>
          </a:fld>
          <a:endParaRPr lang="en-IN" sz="1100"/>
        </a:p>
      </xdr:txBody>
    </xdr:sp>
    <xdr:clientData/>
  </xdr:twoCellAnchor>
  <xdr:twoCellAnchor>
    <xdr:from>
      <xdr:col>57</xdr:col>
      <xdr:colOff>140369</xdr:colOff>
      <xdr:row>25</xdr:row>
      <xdr:rowOff>50131</xdr:rowOff>
    </xdr:from>
    <xdr:to>
      <xdr:col>60</xdr:col>
      <xdr:colOff>130342</xdr:colOff>
      <xdr:row>27</xdr:row>
      <xdr:rowOff>20052</xdr:rowOff>
    </xdr:to>
    <xdr:sp macro="" textlink="$AH$42">
      <xdr:nvSpPr>
        <xdr:cNvPr id="12" name="Rectangle 11">
          <a:extLst>
            <a:ext uri="{FF2B5EF4-FFF2-40B4-BE49-F238E27FC236}">
              <a16:creationId xmlns:a16="http://schemas.microsoft.com/office/drawing/2014/main" id="{C6ACDCFE-FCDC-4A8D-A4EE-D7210E0EF050}"/>
            </a:ext>
          </a:extLst>
        </xdr:cNvPr>
        <xdr:cNvSpPr/>
      </xdr:nvSpPr>
      <xdr:spPr>
        <a:xfrm>
          <a:off x="57109394" y="4812631"/>
          <a:ext cx="1818773" cy="350921"/>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4DA8EF49-6C38-4431-BFAD-52CA10307404}" type="TxLink">
            <a:rPr lang="en-US" sz="1100" b="0" i="0" u="none" strike="noStrike">
              <a:solidFill>
                <a:srgbClr val="000000"/>
              </a:solidFill>
              <a:latin typeface="Calibri"/>
              <a:ea typeface="Calibri"/>
              <a:cs typeface="Calibri"/>
            </a:rPr>
            <a:pPr algn="l"/>
            <a:t>₹1,07,98,287.39</a:t>
          </a:fld>
          <a:endParaRPr lang="en-IN" sz="1100"/>
        </a:p>
      </xdr:txBody>
    </xdr:sp>
    <xdr:clientData/>
  </xdr:twoCellAnchor>
  <xdr:twoCellAnchor>
    <xdr:from>
      <xdr:col>46</xdr:col>
      <xdr:colOff>295612</xdr:colOff>
      <xdr:row>0</xdr:row>
      <xdr:rowOff>66923</xdr:rowOff>
    </xdr:from>
    <xdr:to>
      <xdr:col>54</xdr:col>
      <xdr:colOff>116219</xdr:colOff>
      <xdr:row>15</xdr:row>
      <xdr:rowOff>44141</xdr:rowOff>
    </xdr:to>
    <xdr:graphicFrame macro="">
      <xdr:nvGraphicFramePr>
        <xdr:cNvPr id="13" name="Chart 12">
          <a:extLst>
            <a:ext uri="{FF2B5EF4-FFF2-40B4-BE49-F238E27FC236}">
              <a16:creationId xmlns:a16="http://schemas.microsoft.com/office/drawing/2014/main" id="{6667BEC7-CA7D-448C-8864-E2445225B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570825</xdr:colOff>
      <xdr:row>6</xdr:row>
      <xdr:rowOff>135554</xdr:rowOff>
    </xdr:from>
    <xdr:to>
      <xdr:col>27</xdr:col>
      <xdr:colOff>1228725</xdr:colOff>
      <xdr:row>14</xdr:row>
      <xdr:rowOff>54200</xdr:rowOff>
    </xdr:to>
    <mc:AlternateContent xmlns:mc="http://schemas.openxmlformats.org/markup-compatibility/2006" xmlns:a14="http://schemas.microsoft.com/office/drawing/2010/main">
      <mc:Choice Requires="a14">
        <xdr:graphicFrame macro="">
          <xdr:nvGraphicFramePr>
            <xdr:cNvPr id="14" name="Order Status">
              <a:extLst>
                <a:ext uri="{FF2B5EF4-FFF2-40B4-BE49-F238E27FC236}">
                  <a16:creationId xmlns:a16="http://schemas.microsoft.com/office/drawing/2014/main" id="{E83D2C25-36A0-4CC3-9B25-E83319F55F50}"/>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28183800" y="1278554"/>
              <a:ext cx="1877100" cy="1442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7001b406fdc78ce8/Desktop/dashboard.xlsx" TargetMode="External"/><Relationship Id="rId1" Type="http://schemas.openxmlformats.org/officeDocument/2006/relationships/externalLinkPath" Target="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6"/>
      <sheetName val="if,ifs"/>
      <sheetName val="Detail7"/>
      <sheetName val="SUMIF"/>
      <sheetName val="Detail5"/>
      <sheetName val="PPIVOT"/>
      <sheetName val="Sheet11"/>
      <sheetName val="Sheet13"/>
      <sheetName val="Sheet14"/>
      <sheetName val="3RD PRACTICE"/>
      <sheetName val="Sheet7"/>
      <sheetName val="Sheet12"/>
      <sheetName val="Sheet10"/>
      <sheetName val="main pivot"/>
      <sheetName val="Detail1"/>
      <sheetName val="Detail2"/>
      <sheetName val="Detail3"/>
      <sheetName val="3 practice part 2"/>
      <sheetName val="Sheet1"/>
      <sheetName val="Detail4"/>
      <sheetName val="Sheet5"/>
      <sheetName val="pivot"/>
      <sheetName val="Sheet2"/>
      <sheetName val="Sheet3"/>
      <sheetName val="Sheet4"/>
      <sheetName val="Sheet17"/>
      <sheetName val="Sheet16"/>
      <sheetName val="kpi"/>
      <sheetName val="Table3_1"/>
      <sheetName val="Append1"/>
      <sheetName val="Page001"/>
      <sheetName val="SalesData"/>
      <sheetName val="Table 6"/>
      <sheetName val="Table3_1 (2)"/>
      <sheetName val="Table3"/>
      <sheetName val="Sheet8"/>
      <sheetName val="reports"/>
      <sheetName val="DASHBOAR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AJ2" t="str">
            <v>Sum of Sales Amount</v>
          </cell>
        </row>
        <row r="3">
          <cell r="AI3" t="str">
            <v>Q1</v>
          </cell>
          <cell r="AJ3">
            <v>3604360.0499999993</v>
          </cell>
        </row>
        <row r="4">
          <cell r="AI4" t="str">
            <v>Q2</v>
          </cell>
          <cell r="AJ4">
            <v>3879623.38</v>
          </cell>
        </row>
        <row r="5">
          <cell r="AI5" t="str">
            <v>Q3</v>
          </cell>
          <cell r="AJ5">
            <v>2573506.1700000004</v>
          </cell>
        </row>
        <row r="6">
          <cell r="AI6" t="str">
            <v>Q4</v>
          </cell>
          <cell r="AJ6">
            <v>3106295.4799999995</v>
          </cell>
        </row>
        <row r="34">
          <cell r="AJ34" t="str">
            <v>Delivered</v>
          </cell>
          <cell r="AK34">
            <v>127</v>
          </cell>
        </row>
        <row r="35">
          <cell r="AJ35" t="str">
            <v>Processing</v>
          </cell>
          <cell r="AK35">
            <v>48</v>
          </cell>
        </row>
        <row r="36">
          <cell r="AJ36" t="str">
            <v>Returned</v>
          </cell>
          <cell r="AK36">
            <v>39</v>
          </cell>
        </row>
        <row r="37">
          <cell r="AJ37" t="str">
            <v>Shipped</v>
          </cell>
          <cell r="AK37">
            <v>35</v>
          </cell>
        </row>
        <row r="48">
          <cell r="AI48" t="str">
            <v>Sum of Sales Amount</v>
          </cell>
        </row>
        <row r="49">
          <cell r="AH49" t="str">
            <v>Bihar</v>
          </cell>
          <cell r="AI49">
            <v>1010673.9400000001</v>
          </cell>
        </row>
        <row r="50">
          <cell r="AH50" t="str">
            <v>Delhi</v>
          </cell>
          <cell r="AI50">
            <v>487309.13</v>
          </cell>
        </row>
        <row r="51">
          <cell r="AH51" t="str">
            <v>Goa</v>
          </cell>
          <cell r="AI51">
            <v>847318.95000000007</v>
          </cell>
        </row>
        <row r="52">
          <cell r="AH52" t="str">
            <v>Gujarat</v>
          </cell>
          <cell r="AI52">
            <v>1755826.0000000002</v>
          </cell>
        </row>
        <row r="53">
          <cell r="AH53" t="str">
            <v>Karnataka</v>
          </cell>
          <cell r="AI53">
            <v>186397.5</v>
          </cell>
        </row>
        <row r="54">
          <cell r="AH54" t="str">
            <v>Kerala</v>
          </cell>
          <cell r="AI54">
            <v>119709.65999999997</v>
          </cell>
        </row>
        <row r="55">
          <cell r="AH55" t="str">
            <v>Maharashtra</v>
          </cell>
          <cell r="AI55">
            <v>1077433.6199999999</v>
          </cell>
        </row>
        <row r="56">
          <cell r="AH56" t="str">
            <v>Odisha</v>
          </cell>
          <cell r="AI56">
            <v>1193271.76</v>
          </cell>
        </row>
        <row r="57">
          <cell r="AH57" t="str">
            <v>Punjab</v>
          </cell>
          <cell r="AI57">
            <v>946500.94000000006</v>
          </cell>
        </row>
        <row r="58">
          <cell r="AH58" t="str">
            <v>Rajasthan</v>
          </cell>
          <cell r="AI58">
            <v>2217038.6500000004</v>
          </cell>
        </row>
        <row r="59">
          <cell r="AH59" t="str">
            <v>Tamil Nadu</v>
          </cell>
          <cell r="AI59">
            <v>769336.50999999978</v>
          </cell>
        </row>
        <row r="60">
          <cell r="AH60" t="str">
            <v>Telangana</v>
          </cell>
          <cell r="AI60">
            <v>1289274.1600000001</v>
          </cell>
        </row>
        <row r="61">
          <cell r="AH61" t="str">
            <v>Uttar Pradesh</v>
          </cell>
          <cell r="AI61">
            <v>247519.31999999998</v>
          </cell>
        </row>
        <row r="62">
          <cell r="AH62" t="str">
            <v>West Bengal</v>
          </cell>
          <cell r="AI62">
            <v>1016174.9400000002</v>
          </cell>
        </row>
        <row r="77">
          <cell r="AE77" t="str">
            <v>Clothing</v>
          </cell>
          <cell r="AF77">
            <v>174289</v>
          </cell>
          <cell r="AG77">
            <v>409</v>
          </cell>
        </row>
        <row r="78">
          <cell r="AE78" t="str">
            <v>Electronics</v>
          </cell>
          <cell r="AF78">
            <v>3423661</v>
          </cell>
          <cell r="AG78">
            <v>328</v>
          </cell>
        </row>
        <row r="79">
          <cell r="AE79" t="str">
            <v>Furniture</v>
          </cell>
          <cell r="AF79">
            <v>552833</v>
          </cell>
          <cell r="AG79">
            <v>99</v>
          </cell>
        </row>
        <row r="80">
          <cell r="AE80" t="str">
            <v>Grocery</v>
          </cell>
          <cell r="AF80">
            <v>11946</v>
          </cell>
          <cell r="AG80">
            <v>739</v>
          </cell>
        </row>
      </sheetData>
      <sheetData sheetId="37"/>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08T14:07:36.807"/>
    </inkml:context>
    <inkml:brush xml:id="br0">
      <inkml:brushProperty name="width" value="0.035" units="cm"/>
      <inkml:brushProperty name="height" value="0.035" units="cm"/>
      <inkml:brushProperty name="color" value="#E71224"/>
    </inkml:brush>
  </inkml:definitions>
  <inkml:trace contextRef="#ctx0" brushRef="#br0">1 0 24575,'0'0'-8191</inkml:trace>
  <inkml:trace contextRef="#ctx0" brushRef="#br0" timeOffset="1">1 0 24575,'0'0'-8191</inkml:trace>
</inkm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dashboar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dashboard.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dashboard.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 mavi" refreshedDate="46240.78095659722" createdVersion="8" refreshedVersion="8" minRefreshableVersion="3" recordCount="249" xr:uid="{A4E1C3B4-B58E-4683-BA9B-C251D564665B}">
  <cacheSource type="worksheet">
    <worksheetSource ref="A2:Y251" sheet="reports" r:id="rId2"/>
  </cacheSource>
  <cacheFields count="25">
    <cacheField name="Order ID" numFmtId="0">
      <sharedItems/>
    </cacheField>
    <cacheField name="Order Date" numFmtId="14">
      <sharedItems count="159">
        <s v="2025-03-20"/>
        <s v="2025-03-11"/>
        <s v="2025-12-02"/>
        <s v="2025-07-06"/>
        <s v="2025-02-04"/>
        <s v="2025-12-22"/>
        <s v="2025-06-22"/>
        <s v="2025-10-03"/>
        <s v="2025-04-30"/>
        <s v="2025-03-01"/>
        <s v="2025-07-13"/>
        <s v="2025-11-02"/>
        <s v="2025-03-21"/>
        <s v="2025-02-16"/>
        <s v="2025-02-07"/>
        <s v="2025-09-23"/>
        <s v="2025-06-06"/>
        <s v="2025-04-19"/>
        <s v="2025-12-20"/>
        <s v="2025-04-01"/>
        <s v="2025-02-25"/>
        <s v="2025-11-03"/>
        <s v="2025-11-18"/>
        <s v="2025-02-01"/>
        <s v="2025-04-03"/>
        <s v="2025-01-22"/>
        <s v="2025-06-10"/>
        <s v="2025-05-26"/>
        <s v="2025-07-07"/>
        <s v="2025-06-12"/>
        <s v="2025-01-27"/>
        <s v="2025-07-31"/>
        <s v="2025-12-08"/>
        <s v="2025-01-09"/>
        <s v="2025-04-09"/>
        <s v="2025-08-22"/>
        <s v="2025-04-07"/>
        <s v="2025-02-13"/>
        <s v="2025-03-12"/>
        <s v="2025-05-24"/>
        <s v="2025-07-02"/>
        <s v="2025-03-07"/>
        <s v="2025-05-15"/>
        <s v="2025-07-25"/>
        <s v="2025-08-18"/>
        <s v="2025-10-21"/>
        <s v="2025-05-08"/>
        <s v="2025-02-11"/>
        <s v="2025-08-15"/>
        <s v="2025-12-18"/>
        <s v="2025-03-31"/>
        <s v="2025-03-18"/>
        <s v="2025-01-31"/>
        <s v="2025-10-19"/>
        <s v="2025-12-27"/>
        <s v="2025-10-05"/>
        <s v="2025-02-19"/>
        <s v="2025-04-22"/>
        <s v="2025-11-11"/>
        <s v="2025-11-17"/>
        <s v="2025-08-14"/>
        <s v="2025-06-13"/>
        <s v="2025-01-13"/>
        <s v="2025-11-21"/>
        <s v="2025-10-14"/>
        <s v="2025-10-13"/>
        <s v="2025-07-09"/>
        <s v="2025-03-02"/>
        <s v="2025-03-10"/>
        <s v="2025-07-15"/>
        <s v="2025-03-27"/>
        <s v="2025-08-02"/>
        <s v="2025-09-15"/>
        <s v="2025-09-10"/>
        <s v="2025-04-27"/>
        <s v="2025-03-06"/>
        <s v="2025-10-10"/>
        <s v="2025-05-12"/>
        <s v="2025-01-01"/>
        <s v="2025-02-05"/>
        <s v="2025-09-18"/>
        <s v="2025-05-14"/>
        <s v="2025-09-04"/>
        <s v="2025-07-11"/>
        <s v="2025-04-21"/>
        <s v="2025-02-26"/>
        <s v="2025-09-02"/>
        <s v="2025-07-22"/>
        <s v="2025-11-16"/>
        <s v="2025-04-25"/>
        <s v="2025-04-10"/>
        <s v="2025-08-13"/>
        <s v="2025-06-19"/>
        <s v="2025-03-16"/>
        <s v="2025-10-25"/>
        <s v="2025-03-15"/>
        <s v="2025-12-19"/>
        <s v="2025-06-18"/>
        <s v="2025-12-25"/>
        <s v="2025-09-09"/>
        <s v="2025-09-25"/>
        <s v="2025-02-23"/>
        <s v="2025-08-19"/>
        <s v="2025-11-12"/>
        <s v="2025-10-31"/>
        <s v="2025-09-26"/>
        <s v="2025-05-01"/>
        <s v="2025-10-26"/>
        <s v="2025-10-08"/>
        <s v="2025-05-20"/>
        <s v="2025-10-11"/>
        <s v="2025-03-23"/>
        <s v="2025-12-21"/>
        <s v="2025-02-03"/>
        <s v="2025-04-17"/>
        <s v="2025-11-27"/>
        <s v="2025-06-15"/>
        <s v="2025-02-06"/>
        <s v="2025-11-13"/>
        <s v="2025-04-16"/>
        <s v="2025-08-24"/>
        <s v="2025-05-25"/>
        <s v="2025-07-19"/>
        <s v="2025-04-15"/>
        <s v="2025-01-02"/>
        <s v="2025-05-18"/>
        <s v="2025-03-05"/>
        <s v="2025-12-12"/>
        <s v="2025-07-24"/>
        <s v="2025-02-10"/>
        <s v="2025-08-25"/>
        <s v="2025-10-12"/>
        <s v="2024-12-31"/>
        <s v="2025-06-24"/>
        <s v="2025-05-03"/>
        <s v="2025-09-27"/>
        <s v="2025-05-31"/>
        <s v="2025-09-17"/>
        <s v="2025-06-05"/>
        <s v="2025-05-04"/>
        <s v="2025-10-20"/>
        <s v="2025-09-11"/>
        <s v="2025-07-04"/>
        <s v="2025-01-24"/>
        <s v="2025-04-11"/>
        <s v="2025-05-21"/>
        <s v="2025-07-20"/>
        <s v="2025-08-27"/>
        <s v="2025-03-09"/>
        <s v="2025-04-08"/>
        <s v="2025-05-22"/>
        <s v="2025-01-15"/>
        <s v="2025-07-14"/>
        <s v="2025-05-19"/>
        <s v="2025-04-13"/>
        <s v="2025-12-09"/>
        <s v="2025-08-17"/>
        <s v="2025-08-26"/>
        <s v="2025-08-09"/>
      </sharedItems>
    </cacheField>
    <cacheField name="Month" numFmtId="0">
      <sharedItems/>
    </cacheField>
    <cacheField name="Quarter" numFmtId="0">
      <sharedItems count="4">
        <s v="Q1"/>
        <s v="Q4"/>
        <s v="Q3"/>
        <s v="Q2"/>
      </sharedItems>
    </cacheField>
    <cacheField name="Year" numFmtId="0">
      <sharedItems containsSemiMixedTypes="0" containsString="0" containsNumber="1" containsInteger="1" minValue="2025" maxValue="2025"/>
    </cacheField>
    <cacheField name="Region" numFmtId="0">
      <sharedItems count="4">
        <s v="East"/>
        <s v="North"/>
        <s v="West"/>
        <s v="South"/>
      </sharedItems>
    </cacheField>
    <cacheField name="State" numFmtId="0">
      <sharedItems count="14">
        <s v="Odisha"/>
        <s v="Rajasthan"/>
        <s v="West Bengal"/>
        <s v="Delhi"/>
        <s v="Maharashtra"/>
        <s v="Telangana"/>
        <s v="Punjab"/>
        <s v="Karnataka"/>
        <s v="Goa"/>
        <s v="Uttar Pradesh"/>
        <s v="Gujarat"/>
        <s v="Bihar"/>
        <s v="Kerala"/>
        <s v="Tamil Nadu"/>
      </sharedItems>
    </cacheField>
    <cacheField name="City" numFmtId="0">
      <sharedItems count="26">
        <s v="Bhubaneswar"/>
        <s v="Udaipur"/>
        <s v="Kolkata"/>
        <s v="New Delhi"/>
        <s v="Pune"/>
        <s v="Hyderabad"/>
        <s v="Ludhiana"/>
        <s v="Bengaluru"/>
        <s v="Cuttack"/>
        <s v="Mumbai"/>
        <s v="Panaji"/>
        <s v="Amritsar"/>
        <s v="Kanpur"/>
        <s v="Siliguri"/>
        <s v="Nagpur"/>
        <s v="Surat"/>
        <s v="Patna"/>
        <s v="Mysuru"/>
        <s v="Ahmedabad"/>
        <s v="Thiruvananthapuram"/>
        <s v="Jaipur"/>
        <s v="Coimbatore"/>
        <s v="Chennai"/>
        <s v="Lucknow"/>
        <s v="Noida"/>
        <s v="Kochi"/>
      </sharedItems>
    </cacheField>
    <cacheField name="Sales Channel" numFmtId="0">
      <sharedItems/>
    </cacheField>
    <cacheField name="Customer Segment" numFmtId="0">
      <sharedItems/>
    </cacheField>
    <cacheField name="Salesperson" numFmtId="0">
      <sharedItems count="10">
        <s v="Neha Verma"/>
        <s v="Amit Sharma"/>
        <s v="Sandeep Rao"/>
        <s v="Rohit Jain"/>
        <s v="Arjun Patel"/>
        <s v="Pooja Singh"/>
        <s v="Rahul Mehta"/>
        <s v="Kavya Iyer"/>
        <s v="Simran Kaur"/>
        <s v="Priya Nair"/>
      </sharedItems>
    </cacheField>
    <cacheField name="Category" numFmtId="0">
      <sharedItems count="4">
        <s v="Clothing"/>
        <s v="Electronics"/>
        <s v="Furniture"/>
        <s v="Grocery"/>
      </sharedItems>
    </cacheField>
    <cacheField name="Sub-Category" numFmtId="0">
      <sharedItems/>
    </cacheField>
    <cacheField name="Product" numFmtId="0">
      <sharedItems count="18">
        <s v="Western Dress"/>
        <s v="iPhone 14"/>
        <s v="HP Pavilion"/>
        <s v="Study Table"/>
        <s v="Formal Shirt"/>
        <s v="Potato Chips Combo"/>
        <s v="Premium Tea Pack"/>
        <s v="Office Chair"/>
        <s v="Mechanical Keyboard"/>
        <s v="Instant Coffee Jar"/>
        <s v="Gaming Chair"/>
        <s v="Dining Table"/>
        <s v="Samsung Galaxy A54"/>
        <s v="Denim Jeans"/>
        <s v="Silk Saree"/>
        <s v="Wireless Mouse"/>
        <s v="Butter Biscuits"/>
        <s v="Dell Inspiron 15"/>
      </sharedItems>
    </cacheField>
    <cacheField name="Units Sold" numFmtId="0">
      <sharedItems containsSemiMixedTypes="0" containsString="0" containsNumber="1" containsInteger="1" minValue="1" maxValue="30"/>
    </cacheField>
    <cacheField name="Unit Price" numFmtId="0">
      <sharedItems containsSemiMixedTypes="0" containsString="0" containsNumber="1" containsInteger="1" minValue="47" maxValue="71049"/>
    </cacheField>
    <cacheField name="Discount %" numFmtId="9">
      <sharedItems containsSemiMixedTypes="0" containsString="0" containsNumber="1" minValue="0" maxValue="0.18"/>
    </cacheField>
    <cacheField name="Sales Amount" numFmtId="0">
      <sharedItems containsSemiMixedTypes="0" containsString="0" containsNumber="1" minValue="419.84" maxValue="373464.96" count="249">
        <n v="12236"/>
        <n v="232236"/>
        <n v="104554.56"/>
        <n v="6477"/>
        <n v="9739.2000000000007"/>
        <n v="2012.1"/>
        <n v="16641.36"/>
        <n v="1305.3599999999999"/>
        <n v="367166.34"/>
        <n v="5291.46"/>
        <n v="13341.84"/>
        <n v="12977.64"/>
        <n v="3032.4"/>
        <n v="27691.200000000001"/>
        <n v="16902.34"/>
        <n v="118050.48"/>
        <n v="20879.099999999999"/>
        <n v="5485.08"/>
        <n v="41841.800000000003"/>
        <n v="15761.79"/>
        <n v="6191.94"/>
        <n v="829.84"/>
        <n v="65376.21"/>
        <n v="14917.2"/>
        <n v="19443.28"/>
        <n v="5266.6"/>
        <n v="12045.16"/>
        <n v="62401.14"/>
        <n v="56776.72"/>
        <n v="14818.16"/>
        <n v="79988.160000000003"/>
        <n v="4343.2"/>
        <n v="240639.25"/>
        <n v="6529.25"/>
        <n v="25378.2"/>
        <n v="55610.1"/>
        <n v="3808.04"/>
        <n v="20433"/>
        <n v="14813.5"/>
        <n v="14878.08"/>
        <n v="2023.68"/>
        <n v="1297.3499999999999"/>
        <n v="7297.9"/>
        <n v="3022.11"/>
        <n v="6184.5"/>
        <n v="6705"/>
        <n v="7570.8"/>
        <n v="57757.440000000002"/>
        <n v="1182.3499999999999"/>
        <n v="35376"/>
        <n v="13362.72"/>
        <n v="3955.8"/>
        <n v="159654.15"/>
        <n v="14852.9"/>
        <n v="63011.02"/>
        <n v="1435.5"/>
        <n v="8581.08"/>
        <n v="35611.9"/>
        <n v="28337.4"/>
        <n v="263707"/>
        <n v="11365.2"/>
        <n v="23884.560000000001"/>
        <n v="115854.42"/>
        <n v="103750.8"/>
        <n v="103261.2"/>
        <n v="12830.4"/>
        <n v="1760.85"/>
        <n v="4021.2"/>
        <n v="9713.34"/>
        <n v="247014.16"/>
        <n v="218833.92000000001"/>
        <n v="6720.75"/>
        <n v="3039"/>
        <n v="929.66"/>
        <n v="3762"/>
        <n v="21963.42"/>
        <n v="6331.75"/>
        <n v="6395.4"/>
        <n v="1811.96"/>
        <n v="9114.24"/>
        <n v="138378.23999999999"/>
        <n v="8287.23"/>
        <n v="3118.92"/>
        <n v="16480.88"/>
        <n v="10957.35"/>
        <n v="171722.1"/>
        <n v="324704.15999999997"/>
        <n v="265940.64"/>
        <n v="15882.72"/>
        <n v="176822.88"/>
        <n v="11138.88"/>
        <n v="98451.839999999997"/>
        <n v="3410.44"/>
        <n v="29976.36"/>
        <n v="6805.74"/>
        <n v="14348.8"/>
        <n v="95479.2"/>
        <n v="23517.96"/>
        <n v="182469"/>
        <n v="8018.01"/>
        <n v="23969.4"/>
        <n v="288877.44"/>
        <n v="20012.400000000001"/>
        <n v="81213"/>
        <n v="3402.55"/>
        <n v="185437.89"/>
        <n v="2427.25"/>
        <n v="118652.52"/>
        <n v="90533.5"/>
        <n v="6156"/>
        <n v="299056.3"/>
        <n v="637.26"/>
        <n v="11211.2"/>
        <n v="15422.88"/>
        <n v="1692.48"/>
        <n v="38234.699999999997"/>
        <n v="146299.23000000001"/>
        <n v="1207.73"/>
        <n v="89716.56"/>
        <n v="2555.19"/>
        <n v="19744.650000000001"/>
        <n v="357389.88"/>
        <n v="246089.45"/>
        <n v="9639.7000000000007"/>
        <n v="29591.040000000001"/>
        <n v="39662.36"/>
        <n v="368274.06"/>
        <n v="34352.22"/>
        <n v="2133"/>
        <n v="7177.84"/>
        <n v="2018.52"/>
        <n v="14428.08"/>
        <n v="9560.64"/>
        <n v="156261"/>
        <n v="276195.78000000003"/>
        <n v="202302"/>
        <n v="4271.04"/>
        <n v="14564.55"/>
        <n v="238381.32"/>
        <n v="1860.18"/>
        <n v="2557.8000000000002"/>
        <n v="2808"/>
        <n v="1784.64"/>
        <n v="45723.5"/>
        <n v="357060"/>
        <n v="1759.04"/>
        <n v="2769.68"/>
        <n v="5148"/>
        <n v="15453.81"/>
        <n v="84640"/>
        <n v="15309.72"/>
        <n v="373464.96"/>
        <n v="5736.65"/>
        <n v="7332.36"/>
        <n v="37286.04"/>
        <n v="14325.12"/>
        <n v="11035.8"/>
        <n v="26718.65"/>
        <n v="18805.5"/>
        <n v="16233.3"/>
        <n v="41376.1"/>
        <n v="1362.84"/>
        <n v="26298.720000000001"/>
        <n v="17905.580000000002"/>
        <n v="9406.68"/>
        <n v="4631.28"/>
        <n v="3984.75"/>
        <n v="25028.58"/>
        <n v="41466.480000000003"/>
        <n v="419.84"/>
        <n v="2560.41"/>
        <n v="7032.48"/>
        <n v="7967.28"/>
        <n v="14352"/>
        <n v="136228.65"/>
        <n v="15388.8"/>
        <n v="53033.78"/>
        <n v="17160.96"/>
        <n v="5572.32"/>
        <n v="40325.4"/>
        <n v="13716.96"/>
        <n v="18853.12"/>
        <n v="6508.8"/>
        <n v="141680"/>
        <n v="101541"/>
        <n v="7151.22"/>
        <n v="61059.68"/>
        <n v="18620.95"/>
        <n v="42322.559999999998"/>
        <n v="5128.6499999999996"/>
        <n v="79309.440000000002"/>
        <n v="18917.28"/>
        <n v="17187.240000000002"/>
        <n v="2776.8"/>
        <n v="1460.76"/>
        <n v="51292.04"/>
        <n v="6246.3"/>
        <n v="23673.599999999999"/>
        <n v="25409.56"/>
        <n v="10064.799999999999"/>
        <n v="1970.46"/>
        <n v="3448.6"/>
        <n v="169541.22"/>
        <n v="2830.5"/>
        <n v="9729.94"/>
        <n v="4239.3999999999996"/>
        <n v="1445.36"/>
        <n v="872.32"/>
        <n v="45495.12"/>
        <n v="11224.85"/>
        <n v="159618.6"/>
        <n v="29953.439999999999"/>
        <n v="16906.560000000001"/>
        <n v="8617.9500000000007"/>
        <n v="18623.02"/>
        <n v="13501.44"/>
        <n v="4303.53"/>
        <n v="29589.56"/>
        <n v="7439.25"/>
        <n v="40702"/>
        <n v="268864.55"/>
        <n v="56051.55"/>
        <n v="21605.279999999999"/>
        <n v="5714.8"/>
        <n v="9605.9599999999991"/>
        <n v="356647.92"/>
        <n v="5334.42"/>
        <n v="3239"/>
        <n v="6745.44"/>
        <n v="11073.52"/>
        <n v="10665.72"/>
        <n v="21592.02"/>
        <n v="56018.8"/>
        <n v="298712.40000000002"/>
        <n v="3772.8"/>
        <n v="22709.279999999999"/>
        <n v="10065.25"/>
        <n v="14708.85"/>
        <n v="171108.3"/>
        <n v="12070.4"/>
        <n v="948.6"/>
        <n v="42659.1"/>
        <n v="5589.22"/>
        <n v="4123"/>
        <n v="73818.960000000006"/>
        <n v="83507.490000000005"/>
        <n v="322699.2"/>
        <n v="51313.08"/>
        <n v="4471.74"/>
      </sharedItems>
    </cacheField>
    <cacheField name="Cost Amount" numFmtId="0">
      <sharedItems containsSemiMixedTypes="0" containsString="0" containsNumber="1" minValue="260.3" maxValue="328649.15999999997"/>
    </cacheField>
    <cacheField name="Profit" numFmtId="0">
      <sharedItems containsSemiMixedTypes="0" containsString="0" containsNumber="1" minValue="159.54" maxValue="57129.599999999999"/>
    </cacheField>
    <cacheField name="Profit %" numFmtId="10">
      <sharedItems containsSemiMixedTypes="0" containsString="0" containsNumber="1" minValue="0.12" maxValue="0.43"/>
    </cacheField>
    <cacheField name="Payment Mode" numFmtId="0">
      <sharedItems count="5">
        <s v="Cash on Delivery"/>
        <s v="UPI"/>
        <s v="Debit Card"/>
        <s v="Credit Card"/>
        <s v="Net Banking"/>
      </sharedItems>
    </cacheField>
    <cacheField name="Ship Mode" numFmtId="0">
      <sharedItems/>
    </cacheField>
    <cacheField name="Delivery Days" numFmtId="0">
      <sharedItems containsSemiMixedTypes="0" containsString="0" containsNumber="1" containsInteger="1" minValue="0" maxValue="7"/>
    </cacheField>
    <cacheField name="Order Status" numFmtId="0">
      <sharedItems count="4">
        <s v="Delivered"/>
        <s v="Processing"/>
        <s v="Shipped"/>
        <s v="Returned"/>
      </sharedItems>
    </cacheField>
  </cacheFields>
  <extLst>
    <ext xmlns:x14="http://schemas.microsoft.com/office/spreadsheetml/2009/9/main" uri="{725AE2AE-9491-48be-B2B4-4EB974FC3084}">
      <x14:pivotCacheDefinition pivotCacheId="2989671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 mavi" refreshedDate="46240.850538773149" createdVersion="8" refreshedVersion="8" minRefreshableVersion="3" recordCount="250" xr:uid="{CE5F2B8F-9DD4-4C99-AB67-06D5735FCB33}">
  <cacheSource type="worksheet">
    <worksheetSource ref="A2:Y252" sheet="reports" r:id="rId2"/>
  </cacheSource>
  <cacheFields count="25">
    <cacheField name="Order ID" numFmtId="0">
      <sharedItems containsBlank="1"/>
    </cacheField>
    <cacheField name="Order Date" numFmtId="0">
      <sharedItems containsBlank="1"/>
    </cacheField>
    <cacheField name="Month" numFmtId="0">
      <sharedItems containsBlank="1"/>
    </cacheField>
    <cacheField name="Quarter" numFmtId="0">
      <sharedItems containsBlank="1"/>
    </cacheField>
    <cacheField name="Year" numFmtId="0">
      <sharedItems containsString="0" containsBlank="1" containsNumber="1" containsInteger="1" minValue="2025" maxValue="2025"/>
    </cacheField>
    <cacheField name="Region" numFmtId="0">
      <sharedItems containsBlank="1"/>
    </cacheField>
    <cacheField name="State" numFmtId="0">
      <sharedItems containsBlank="1"/>
    </cacheField>
    <cacheField name="City" numFmtId="0">
      <sharedItems containsBlank="1"/>
    </cacheField>
    <cacheField name="Sales Channel" numFmtId="0">
      <sharedItems containsBlank="1"/>
    </cacheField>
    <cacheField name="Customer Segment" numFmtId="0">
      <sharedItems containsBlank="1"/>
    </cacheField>
    <cacheField name="Salesperson" numFmtId="0">
      <sharedItems containsBlank="1"/>
    </cacheField>
    <cacheField name="Category" numFmtId="0">
      <sharedItems containsBlank="1"/>
    </cacheField>
    <cacheField name="Sub-Category" numFmtId="0">
      <sharedItems containsBlank="1"/>
    </cacheField>
    <cacheField name="Product" numFmtId="0">
      <sharedItems containsBlank="1"/>
    </cacheField>
    <cacheField name="Units Sold" numFmtId="0">
      <sharedItems containsString="0" containsBlank="1" containsNumber="1" containsInteger="1" minValue="1" maxValue="30"/>
    </cacheField>
    <cacheField name="Unit Price" numFmtId="0">
      <sharedItems containsString="0" containsBlank="1" containsNumber="1" containsInteger="1" minValue="47" maxValue="71049"/>
    </cacheField>
    <cacheField name="Discount %" numFmtId="0">
      <sharedItems containsString="0" containsBlank="1" containsNumber="1" minValue="0" maxValue="0.18"/>
    </cacheField>
    <cacheField name="Sales Amount" numFmtId="0">
      <sharedItems containsString="0" containsBlank="1" containsNumber="1" minValue="419.84" maxValue="373464.96"/>
    </cacheField>
    <cacheField name="Cost Amount" numFmtId="0">
      <sharedItems containsString="0" containsBlank="1" containsNumber="1" minValue="260.3" maxValue="328649.15999999997"/>
    </cacheField>
    <cacheField name="Profit" numFmtId="0">
      <sharedItems containsString="0" containsBlank="1" containsNumber="1" minValue="159.54" maxValue="57129.599999999999" count="251">
        <n v="5261.48"/>
        <n v="27868.32"/>
        <n v="15683.18"/>
        <n v="1878.33"/>
        <n v="4090.46"/>
        <n v="845.08"/>
        <n v="6989.37"/>
        <n v="469.93"/>
        <n v="44059.96"/>
        <n v="1799.1"/>
        <n v="3735.72"/>
        <n v="3893.29"/>
        <n v="1000.69"/>
        <n v="7199.71"/>
        <n v="4056.56"/>
        <n v="21249.09"/>
        <n v="8351.64"/>
        <n v="2358.58"/>
        <n v="10042.030000000001"/>
        <n v="6304.72"/>
        <n v="1795.66"/>
        <n v="298.74"/>
        <n v="7845.15"/>
        <n v="6414.4"/>
        <n v="4666.3900000000003"/>
        <n v="1527.31"/>
        <n v="4456.71"/>
        <n v="11232.21"/>
        <n v="8516.51"/>
        <n v="5482.72"/>
        <n v="14397.87"/>
        <n v="1433.26"/>
        <n v="36095.89"/>
        <n v="2611.6999999999998"/>
        <n v="6598.33"/>
        <n v="10009.82"/>
        <n v="1142.4100000000001"/>
        <n v="8786.19"/>
        <n v="4444.05"/>
        <n v="6248.79"/>
        <n v="607.1"/>
        <n v="467.05"/>
        <n v="2116.39"/>
        <n v="967.08"/>
        <n v="1731.66"/>
        <n v="2816.1"/>
        <n v="3028.32"/>
        <n v="21370.25"/>
        <n v="449.29"/>
        <n v="15211.68"/>
        <n v="5612.34"/>
        <n v="1661.44"/>
        <n v="25544.66"/>
        <n v="4307.34"/>
        <n v="7561.32"/>
        <n v="516.78"/>
        <n v="2402.6999999999998"/>
        <n v="13176.4"/>
        <n v="12185.08"/>
        <n v="31644.84"/>
        <n v="4546.08"/>
        <n v="6209.99"/>
        <n v="17378.16"/>
        <n v="18675.14"/>
        <n v="16521.79"/>
        <n v="5132.16"/>
        <n v="598.69000000000005"/>
        <n v="1608.48"/>
        <n v="2816.87"/>
        <n v="29641.7"/>
        <n v="35013.43"/>
        <n v="2285.0500000000002"/>
        <n v="972.48"/>
        <n v="353.27"/>
        <n v="1203.8399999999999"/>
        <n v="8126.47"/>
        <n v="2659.33"/>
        <n v="2174.44"/>
        <n v="579.83000000000004"/>
        <n v="3007.7"/>
        <n v="24908.080000000002"/>
        <n v="2734.79"/>
        <n v="1029.24"/>
        <n v="4614.6499999999996"/>
        <n v="2848.91"/>
        <n v="25758.31"/>
        <n v="51952.67"/>
        <n v="42550.5"/>
        <n v="6353.09"/>
        <n v="21218.75"/>
        <n v="3341.66"/>
        <n v="17721.330000000002"/>
        <n v="1159.55"/>
        <n v="8693.14"/>
        <n v="1973.66"/>
        <n v="6169.98"/>
        <n v="14321.88"/>
        <n v="4233.2299999999996"/>
        <n v="27370.35"/>
        <n v="2405.4"/>
        <n v="6232.04"/>
        <n v="46220.39"/>
        <n v="5603.47"/>
        <n v="14618.34"/>
        <n v="1020.76"/>
        <n v="22252.55"/>
        <n v="800.99"/>
        <n v="18984.400000000001"/>
        <n v="14485.36"/>
        <n v="2031.48"/>
        <n v="35886.76"/>
        <n v="242.16"/>
        <n v="4820.82"/>
        <n v="4318.41"/>
        <n v="609.29"/>
        <n v="6882.25"/>
        <n v="23407.88"/>
        <n v="386.47"/>
        <n v="14354.65"/>
        <n v="817.66"/>
        <n v="5528.5"/>
        <n v="42886.79"/>
        <n v="39374.31"/>
        <n v="4048.67"/>
        <n v="7693.67"/>
        <n v="9518.9699999999993"/>
        <n v="55241.11"/>
        <n v="8244.5300000000007"/>
        <n v="767.88"/>
        <n v="2081.5700000000002"/>
        <n v="666.11"/>
        <n v="5771.23"/>
        <n v="3155.01"/>
        <n v="23439.15"/>
        <n v="44191.32"/>
        <n v="32368.32"/>
        <n v="1366.73"/>
        <n v="4223.72"/>
        <n v="28605.759999999998"/>
        <n v="669.66"/>
        <n v="1023.12"/>
        <n v="1067.04"/>
        <n v="642.47"/>
        <n v="8230.23"/>
        <n v="57129.599999999999"/>
        <n v="562.89"/>
        <n v="913.99"/>
        <n v="1441.44"/>
        <n v="4481.6000000000004"/>
        <n v="15235.2"/>
        <n v="6430.08"/>
        <n v="44815.8"/>
        <n v="1893.09"/>
        <n v="3079.59"/>
        <n v="16033"/>
        <n v="4154.28"/>
        <n v="3090.02"/>
        <n v="4809.3599999999997"/>
        <n v="5641.65"/>
        <n v="4707.66"/>
        <n v="7447.7"/>
        <n v="449.74"/>
        <n v="6837.67"/>
        <n v="7162.23"/>
        <n v="2633.87"/>
        <n v="1296.76"/>
        <n v="1434.51"/>
        <n v="6507.43"/>
        <n v="10781.28"/>
        <n v="159.54"/>
        <n v="870.54"/>
        <n v="2109.7399999999998"/>
        <n v="2549.5300000000002"/>
        <n v="6027.84"/>
        <n v="21796.58"/>
        <n v="6155.52"/>
        <n v="12728.11"/>
        <n v="6349.56"/>
        <n v="1783.14"/>
        <n v="14920.4"/>
        <n v="5486.78"/>
        <n v="5467.4"/>
        <n v="2147.9"/>
        <n v="25502.400000000001"/>
        <n v="12184.92"/>
        <n v="2359.9"/>
        <n v="7327.16"/>
        <n v="4469.03"/>
        <n v="15659.35"/>
        <n v="1538.6"/>
        <n v="14275.7"/>
        <n v="7945.26"/>
        <n v="5156.17"/>
        <n v="999.65"/>
        <n v="555.09"/>
        <n v="7693.81"/>
        <n v="1998.82"/>
        <n v="10179.65"/>
        <n v="10163.82"/>
        <n v="3019.44"/>
        <n v="650.25"/>
        <n v="1172.52"/>
        <n v="25431.18"/>
        <n v="1075.5899999999999"/>
        <n v="2529.7800000000002"/>
        <n v="1399"/>
        <n v="491.42"/>
        <n v="314.04000000000002"/>
        <n v="7279.22"/>
        <n v="4489.9399999999996"/>
        <n v="19154.23"/>
        <n v="8686.5"/>
        <n v="5071.97"/>
        <n v="2240.67"/>
        <n v="4469.5200000000004"/>
        <n v="4995.53"/>
        <n v="1463.2"/>
        <n v="7101.49"/>
        <n v="2157.38"/>
        <n v="17501.86"/>
        <n v="32263.75"/>
        <n v="20739.07"/>
        <n v="7993.95"/>
        <n v="2285.92"/>
        <n v="3266.03"/>
        <n v="42797.75"/>
        <n v="1493.64"/>
        <n v="1360.38"/>
        <n v="2833.08"/>
        <n v="4429.41"/>
        <n v="4479.6000000000004"/>
        <n v="6045.77"/>
        <n v="8402.82"/>
        <n v="44806.86"/>
        <n v="1207.3"/>
        <n v="6358.6"/>
        <n v="4227.41"/>
        <n v="4265.57"/>
        <n v="30799.49"/>
        <n v="4828.16"/>
        <n v="360.47"/>
        <n v="18343.41"/>
        <n v="1564.98"/>
        <n v="1401.82"/>
        <n v="13287.41"/>
        <n v="30897.77"/>
        <n v="38723.9"/>
        <n v="8210.09"/>
        <n v="1430.96"/>
        <m/>
        <n v="32579.87" u="1"/>
      </sharedItems>
    </cacheField>
    <cacheField name="Profit %" numFmtId="10">
      <sharedItems containsString="0" containsBlank="1" containsNumber="1" minValue="0.12" maxValue="0.43"/>
    </cacheField>
    <cacheField name="Payment Mode" numFmtId="0">
      <sharedItems containsBlank="1" count="6">
        <s v="Cash on Delivery"/>
        <s v="UPI"/>
        <s v="Debit Card"/>
        <s v="Credit Card"/>
        <s v="Net Banking"/>
        <m/>
      </sharedItems>
    </cacheField>
    <cacheField name="Ship Mode" numFmtId="0">
      <sharedItems containsBlank="1"/>
    </cacheField>
    <cacheField name="Delivery Days" numFmtId="0">
      <sharedItems containsString="0" containsBlank="1" containsNumber="1" containsInteger="1" minValue="0" maxValue="7"/>
    </cacheField>
    <cacheField name="Order Status" numFmtId="0">
      <sharedItems containsBlank="1" count="5">
        <s v="Delivered"/>
        <s v="Processing"/>
        <s v="Shipped"/>
        <s v="Returned"/>
        <m/>
      </sharedItems>
    </cacheField>
  </cacheFields>
  <extLst>
    <ext xmlns:x14="http://schemas.microsoft.com/office/spreadsheetml/2009/9/main" uri="{725AE2AE-9491-48be-B2B4-4EB974FC3084}">
      <x14:pivotCacheDefinition pivotCacheId="11449366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 mavi" refreshedDate="46240.78095659722" createdVersion="8" refreshedVersion="8" minRefreshableVersion="3" recordCount="249" xr:uid="{FF3BB0BD-EB89-4E50-BE72-03CC356191E8}">
  <cacheSource type="worksheet">
    <worksheetSource ref="A2:Y251" sheet="reports" r:id="rId2"/>
  </cacheSource>
  <cacheFields count="25">
    <cacheField name="Order ID" numFmtId="0">
      <sharedItems/>
    </cacheField>
    <cacheField name="Order Date" numFmtId="14">
      <sharedItems count="159">
        <s v="2025-03-20"/>
        <s v="2025-03-11"/>
        <s v="2025-12-02"/>
        <s v="2025-07-06"/>
        <s v="2025-02-04"/>
        <s v="2025-12-22"/>
        <s v="2025-06-22"/>
        <s v="2025-10-03"/>
        <s v="2025-04-30"/>
        <s v="2025-03-01"/>
        <s v="2025-07-13"/>
        <s v="2025-11-02"/>
        <s v="2025-03-21"/>
        <s v="2025-02-16"/>
        <s v="2025-02-07"/>
        <s v="2025-09-23"/>
        <s v="2025-06-06"/>
        <s v="2025-04-19"/>
        <s v="2025-12-20"/>
        <s v="2025-04-01"/>
        <s v="2025-02-25"/>
        <s v="2025-11-03"/>
        <s v="2025-11-18"/>
        <s v="2025-02-01"/>
        <s v="2025-04-03"/>
        <s v="2025-01-22"/>
        <s v="2025-06-10"/>
        <s v="2025-05-26"/>
        <s v="2025-07-07"/>
        <s v="2025-06-12"/>
        <s v="2025-01-27"/>
        <s v="2025-07-31"/>
        <s v="2025-12-08"/>
        <s v="2025-01-09"/>
        <s v="2025-04-09"/>
        <s v="2025-08-22"/>
        <s v="2025-04-07"/>
        <s v="2025-02-13"/>
        <s v="2025-03-12"/>
        <s v="2025-05-24"/>
        <s v="2025-07-02"/>
        <s v="2025-03-07"/>
        <s v="2025-05-15"/>
        <s v="2025-07-25"/>
        <s v="2025-08-18"/>
        <s v="2025-10-21"/>
        <s v="2025-05-08"/>
        <s v="2025-02-11"/>
        <s v="2025-08-15"/>
        <s v="2025-12-18"/>
        <s v="2025-03-31"/>
        <s v="2025-03-18"/>
        <s v="2025-01-31"/>
        <s v="2025-10-19"/>
        <s v="2025-12-27"/>
        <s v="2025-10-05"/>
        <s v="2025-02-19"/>
        <s v="2025-04-22"/>
        <s v="2025-11-11"/>
        <s v="2025-11-17"/>
        <s v="2025-08-14"/>
        <s v="2025-06-13"/>
        <s v="2025-01-13"/>
        <s v="2025-11-21"/>
        <s v="2025-10-14"/>
        <s v="2025-10-13"/>
        <s v="2025-07-09"/>
        <s v="2025-03-02"/>
        <s v="2025-03-10"/>
        <s v="2025-07-15"/>
        <s v="2025-03-27"/>
        <s v="2025-08-02"/>
        <s v="2025-09-15"/>
        <s v="2025-09-10"/>
        <s v="2025-04-27"/>
        <s v="2025-03-06"/>
        <s v="2025-10-10"/>
        <s v="2025-05-12"/>
        <s v="2025-01-01"/>
        <s v="2025-02-05"/>
        <s v="2025-09-18"/>
        <s v="2025-05-14"/>
        <s v="2025-09-04"/>
        <s v="2025-07-11"/>
        <s v="2025-04-21"/>
        <s v="2025-02-26"/>
        <s v="2025-09-02"/>
        <s v="2025-07-22"/>
        <s v="2025-11-16"/>
        <s v="2025-04-25"/>
        <s v="2025-04-10"/>
        <s v="2025-08-13"/>
        <s v="2025-06-19"/>
        <s v="2025-03-16"/>
        <s v="2025-10-25"/>
        <s v="2025-03-15"/>
        <s v="2025-12-19"/>
        <s v="2025-06-18"/>
        <s v="2025-12-25"/>
        <s v="2025-09-09"/>
        <s v="2025-09-25"/>
        <s v="2025-02-23"/>
        <s v="2025-08-19"/>
        <s v="2025-11-12"/>
        <s v="2025-10-31"/>
        <s v="2025-09-26"/>
        <s v="2025-05-01"/>
        <s v="2025-10-26"/>
        <s v="2025-10-08"/>
        <s v="2025-05-20"/>
        <s v="2025-10-11"/>
        <s v="2025-03-23"/>
        <s v="2025-12-21"/>
        <s v="2025-02-03"/>
        <s v="2025-04-17"/>
        <s v="2025-11-27"/>
        <s v="2025-06-15"/>
        <s v="2025-02-06"/>
        <s v="2025-11-13"/>
        <s v="2025-04-16"/>
        <s v="2025-08-24"/>
        <s v="2025-05-25"/>
        <s v="2025-07-19"/>
        <s v="2025-04-15"/>
        <s v="2025-01-02"/>
        <s v="2025-05-18"/>
        <s v="2025-03-05"/>
        <s v="2025-12-12"/>
        <s v="2025-07-24"/>
        <s v="2025-02-10"/>
        <s v="2025-08-25"/>
        <s v="2025-10-12"/>
        <s v="2024-12-31"/>
        <s v="2025-06-24"/>
        <s v="2025-05-03"/>
        <s v="2025-09-27"/>
        <s v="2025-05-31"/>
        <s v="2025-09-17"/>
        <s v="2025-06-05"/>
        <s v="2025-05-04"/>
        <s v="2025-10-20"/>
        <s v="2025-09-11"/>
        <s v="2025-07-04"/>
        <s v="2025-01-24"/>
        <s v="2025-04-11"/>
        <s v="2025-05-21"/>
        <s v="2025-07-20"/>
        <s v="2025-08-27"/>
        <s v="2025-03-09"/>
        <s v="2025-04-08"/>
        <s v="2025-05-22"/>
        <s v="2025-01-15"/>
        <s v="2025-07-14"/>
        <s v="2025-05-19"/>
        <s v="2025-04-13"/>
        <s v="2025-12-09"/>
        <s v="2025-08-17"/>
        <s v="2025-08-26"/>
        <s v="2025-08-09"/>
      </sharedItems>
    </cacheField>
    <cacheField name="Month" numFmtId="0">
      <sharedItems/>
    </cacheField>
    <cacheField name="Quarter" numFmtId="0">
      <sharedItems count="4">
        <s v="Q1"/>
        <s v="Q4"/>
        <s v="Q3"/>
        <s v="Q2"/>
      </sharedItems>
    </cacheField>
    <cacheField name="Year" numFmtId="0">
      <sharedItems containsSemiMixedTypes="0" containsString="0" containsNumber="1" containsInteger="1" minValue="2025" maxValue="2025"/>
    </cacheField>
    <cacheField name="Region" numFmtId="0">
      <sharedItems count="4">
        <s v="East"/>
        <s v="North"/>
        <s v="West"/>
        <s v="South"/>
      </sharedItems>
    </cacheField>
    <cacheField name="State" numFmtId="0">
      <sharedItems count="14">
        <s v="Odisha"/>
        <s v="Rajasthan"/>
        <s v="West Bengal"/>
        <s v="Delhi"/>
        <s v="Maharashtra"/>
        <s v="Telangana"/>
        <s v="Punjab"/>
        <s v="Karnataka"/>
        <s v="Goa"/>
        <s v="Uttar Pradesh"/>
        <s v="Gujarat"/>
        <s v="Bihar"/>
        <s v="Kerala"/>
        <s v="Tamil Nadu"/>
      </sharedItems>
    </cacheField>
    <cacheField name="City" numFmtId="0">
      <sharedItems count="26">
        <s v="Bhubaneswar"/>
        <s v="Udaipur"/>
        <s v="Kolkata"/>
        <s v="New Delhi"/>
        <s v="Pune"/>
        <s v="Hyderabad"/>
        <s v="Ludhiana"/>
        <s v="Bengaluru"/>
        <s v="Cuttack"/>
        <s v="Mumbai"/>
        <s v="Panaji"/>
        <s v="Amritsar"/>
        <s v="Kanpur"/>
        <s v="Siliguri"/>
        <s v="Nagpur"/>
        <s v="Surat"/>
        <s v="Patna"/>
        <s v="Mysuru"/>
        <s v="Ahmedabad"/>
        <s v="Thiruvananthapuram"/>
        <s v="Jaipur"/>
        <s v="Coimbatore"/>
        <s v="Chennai"/>
        <s v="Lucknow"/>
        <s v="Noida"/>
        <s v="Kochi"/>
      </sharedItems>
    </cacheField>
    <cacheField name="Sales Channel" numFmtId="0">
      <sharedItems/>
    </cacheField>
    <cacheField name="Customer Segment" numFmtId="0">
      <sharedItems/>
    </cacheField>
    <cacheField name="Salesperson" numFmtId="0">
      <sharedItems count="10">
        <s v="Neha Verma"/>
        <s v="Amit Sharma"/>
        <s v="Sandeep Rao"/>
        <s v="Rohit Jain"/>
        <s v="Arjun Patel"/>
        <s v="Pooja Singh"/>
        <s v="Rahul Mehta"/>
        <s v="Kavya Iyer"/>
        <s v="Simran Kaur"/>
        <s v="Priya Nair"/>
      </sharedItems>
    </cacheField>
    <cacheField name="Category" numFmtId="0">
      <sharedItems count="4">
        <s v="Clothing"/>
        <s v="Electronics"/>
        <s v="Furniture"/>
        <s v="Grocery"/>
      </sharedItems>
    </cacheField>
    <cacheField name="Sub-Category" numFmtId="0">
      <sharedItems/>
    </cacheField>
    <cacheField name="Product" numFmtId="0">
      <sharedItems count="18">
        <s v="Western Dress"/>
        <s v="iPhone 14"/>
        <s v="HP Pavilion"/>
        <s v="Study Table"/>
        <s v="Formal Shirt"/>
        <s v="Potato Chips Combo"/>
        <s v="Premium Tea Pack"/>
        <s v="Office Chair"/>
        <s v="Mechanical Keyboard"/>
        <s v="Instant Coffee Jar"/>
        <s v="Gaming Chair"/>
        <s v="Dining Table"/>
        <s v="Samsung Galaxy A54"/>
        <s v="Denim Jeans"/>
        <s v="Silk Saree"/>
        <s v="Wireless Mouse"/>
        <s v="Butter Biscuits"/>
        <s v="Dell Inspiron 15"/>
      </sharedItems>
    </cacheField>
    <cacheField name="Units Sold" numFmtId="0">
      <sharedItems containsSemiMixedTypes="0" containsString="0" containsNumber="1" containsInteger="1" minValue="1" maxValue="30"/>
    </cacheField>
    <cacheField name="Unit Price" numFmtId="0">
      <sharedItems containsSemiMixedTypes="0" containsString="0" containsNumber="1" containsInteger="1" minValue="47" maxValue="71049"/>
    </cacheField>
    <cacheField name="Discount %" numFmtId="9">
      <sharedItems containsSemiMixedTypes="0" containsString="0" containsNumber="1" minValue="0" maxValue="0.18"/>
    </cacheField>
    <cacheField name="Sales Amount" numFmtId="0">
      <sharedItems containsSemiMixedTypes="0" containsString="0" containsNumber="1" minValue="419.84" maxValue="373464.96" count="249">
        <n v="12236"/>
        <n v="232236"/>
        <n v="104554.56"/>
        <n v="6477"/>
        <n v="9739.2000000000007"/>
        <n v="2012.1"/>
        <n v="16641.36"/>
        <n v="1305.3599999999999"/>
        <n v="367166.34"/>
        <n v="5291.46"/>
        <n v="13341.84"/>
        <n v="12977.64"/>
        <n v="3032.4"/>
        <n v="27691.200000000001"/>
        <n v="16902.34"/>
        <n v="118050.48"/>
        <n v="20879.099999999999"/>
        <n v="5485.08"/>
        <n v="41841.800000000003"/>
        <n v="15761.79"/>
        <n v="6191.94"/>
        <n v="829.84"/>
        <n v="65376.21"/>
        <n v="14917.2"/>
        <n v="19443.28"/>
        <n v="5266.6"/>
        <n v="12045.16"/>
        <n v="62401.14"/>
        <n v="56776.72"/>
        <n v="14818.16"/>
        <n v="79988.160000000003"/>
        <n v="4343.2"/>
        <n v="240639.25"/>
        <n v="6529.25"/>
        <n v="25378.2"/>
        <n v="55610.1"/>
        <n v="3808.04"/>
        <n v="20433"/>
        <n v="14813.5"/>
        <n v="14878.08"/>
        <n v="2023.68"/>
        <n v="1297.3499999999999"/>
        <n v="7297.9"/>
        <n v="3022.11"/>
        <n v="6184.5"/>
        <n v="6705"/>
        <n v="7570.8"/>
        <n v="57757.440000000002"/>
        <n v="1182.3499999999999"/>
        <n v="35376"/>
        <n v="13362.72"/>
        <n v="3955.8"/>
        <n v="159654.15"/>
        <n v="14852.9"/>
        <n v="63011.02"/>
        <n v="1435.5"/>
        <n v="8581.08"/>
        <n v="35611.9"/>
        <n v="28337.4"/>
        <n v="263707"/>
        <n v="11365.2"/>
        <n v="23884.560000000001"/>
        <n v="115854.42"/>
        <n v="103750.8"/>
        <n v="103261.2"/>
        <n v="12830.4"/>
        <n v="1760.85"/>
        <n v="4021.2"/>
        <n v="9713.34"/>
        <n v="247014.16"/>
        <n v="218833.92000000001"/>
        <n v="6720.75"/>
        <n v="3039"/>
        <n v="929.66"/>
        <n v="3762"/>
        <n v="21963.42"/>
        <n v="6331.75"/>
        <n v="6395.4"/>
        <n v="1811.96"/>
        <n v="9114.24"/>
        <n v="138378.23999999999"/>
        <n v="8287.23"/>
        <n v="3118.92"/>
        <n v="16480.88"/>
        <n v="10957.35"/>
        <n v="171722.1"/>
        <n v="324704.15999999997"/>
        <n v="265940.64"/>
        <n v="15882.72"/>
        <n v="176822.88"/>
        <n v="11138.88"/>
        <n v="98451.839999999997"/>
        <n v="3410.44"/>
        <n v="29976.36"/>
        <n v="6805.74"/>
        <n v="14348.8"/>
        <n v="95479.2"/>
        <n v="23517.96"/>
        <n v="182469"/>
        <n v="8018.01"/>
        <n v="23969.4"/>
        <n v="288877.44"/>
        <n v="20012.400000000001"/>
        <n v="81213"/>
        <n v="3402.55"/>
        <n v="185437.89"/>
        <n v="2427.25"/>
        <n v="118652.52"/>
        <n v="90533.5"/>
        <n v="6156"/>
        <n v="299056.3"/>
        <n v="637.26"/>
        <n v="11211.2"/>
        <n v="15422.88"/>
        <n v="1692.48"/>
        <n v="38234.699999999997"/>
        <n v="146299.23000000001"/>
        <n v="1207.73"/>
        <n v="89716.56"/>
        <n v="2555.19"/>
        <n v="19744.650000000001"/>
        <n v="357389.88"/>
        <n v="246089.45"/>
        <n v="9639.7000000000007"/>
        <n v="29591.040000000001"/>
        <n v="39662.36"/>
        <n v="368274.06"/>
        <n v="34352.22"/>
        <n v="2133"/>
        <n v="7177.84"/>
        <n v="2018.52"/>
        <n v="14428.08"/>
        <n v="9560.64"/>
        <n v="156261"/>
        <n v="276195.78000000003"/>
        <n v="202302"/>
        <n v="4271.04"/>
        <n v="14564.55"/>
        <n v="238381.32"/>
        <n v="1860.18"/>
        <n v="2557.8000000000002"/>
        <n v="2808"/>
        <n v="1784.64"/>
        <n v="45723.5"/>
        <n v="357060"/>
        <n v="1759.04"/>
        <n v="2769.68"/>
        <n v="5148"/>
        <n v="15453.81"/>
        <n v="84640"/>
        <n v="15309.72"/>
        <n v="373464.96"/>
        <n v="5736.65"/>
        <n v="7332.36"/>
        <n v="37286.04"/>
        <n v="14325.12"/>
        <n v="11035.8"/>
        <n v="26718.65"/>
        <n v="18805.5"/>
        <n v="16233.3"/>
        <n v="41376.1"/>
        <n v="1362.84"/>
        <n v="26298.720000000001"/>
        <n v="17905.580000000002"/>
        <n v="9406.68"/>
        <n v="4631.28"/>
        <n v="3984.75"/>
        <n v="25028.58"/>
        <n v="41466.480000000003"/>
        <n v="419.84"/>
        <n v="2560.41"/>
        <n v="7032.48"/>
        <n v="7967.28"/>
        <n v="14352"/>
        <n v="136228.65"/>
        <n v="15388.8"/>
        <n v="53033.78"/>
        <n v="17160.96"/>
        <n v="5572.32"/>
        <n v="40325.4"/>
        <n v="13716.96"/>
        <n v="18853.12"/>
        <n v="6508.8"/>
        <n v="141680"/>
        <n v="101541"/>
        <n v="7151.22"/>
        <n v="61059.68"/>
        <n v="18620.95"/>
        <n v="42322.559999999998"/>
        <n v="5128.6499999999996"/>
        <n v="79309.440000000002"/>
        <n v="18917.28"/>
        <n v="17187.240000000002"/>
        <n v="2776.8"/>
        <n v="1460.76"/>
        <n v="51292.04"/>
        <n v="6246.3"/>
        <n v="23673.599999999999"/>
        <n v="25409.56"/>
        <n v="10064.799999999999"/>
        <n v="1970.46"/>
        <n v="3448.6"/>
        <n v="169541.22"/>
        <n v="2830.5"/>
        <n v="9729.94"/>
        <n v="4239.3999999999996"/>
        <n v="1445.36"/>
        <n v="872.32"/>
        <n v="45495.12"/>
        <n v="11224.85"/>
        <n v="159618.6"/>
        <n v="29953.439999999999"/>
        <n v="16906.560000000001"/>
        <n v="8617.9500000000007"/>
        <n v="18623.02"/>
        <n v="13501.44"/>
        <n v="4303.53"/>
        <n v="29589.56"/>
        <n v="7439.25"/>
        <n v="40702"/>
        <n v="268864.55"/>
        <n v="56051.55"/>
        <n v="21605.279999999999"/>
        <n v="5714.8"/>
        <n v="9605.9599999999991"/>
        <n v="356647.92"/>
        <n v="5334.42"/>
        <n v="3239"/>
        <n v="6745.44"/>
        <n v="11073.52"/>
        <n v="10665.72"/>
        <n v="21592.02"/>
        <n v="56018.8"/>
        <n v="298712.40000000002"/>
        <n v="3772.8"/>
        <n v="22709.279999999999"/>
        <n v="10065.25"/>
        <n v="14708.85"/>
        <n v="171108.3"/>
        <n v="12070.4"/>
        <n v="948.6"/>
        <n v="42659.1"/>
        <n v="5589.22"/>
        <n v="4123"/>
        <n v="73818.960000000006"/>
        <n v="83507.490000000005"/>
        <n v="322699.2"/>
        <n v="51313.08"/>
        <n v="4471.74"/>
      </sharedItems>
    </cacheField>
    <cacheField name="Cost Amount" numFmtId="0">
      <sharedItems containsSemiMixedTypes="0" containsString="0" containsNumber="1" minValue="260.3" maxValue="328649.15999999997"/>
    </cacheField>
    <cacheField name="Profit" numFmtId="0">
      <sharedItems containsSemiMixedTypes="0" containsString="0" containsNumber="1" minValue="159.54" maxValue="57129.599999999999"/>
    </cacheField>
    <cacheField name="Profit %" numFmtId="10">
      <sharedItems containsSemiMixedTypes="0" containsString="0" containsNumber="1" minValue="0.12" maxValue="0.43"/>
    </cacheField>
    <cacheField name="Payment Mode" numFmtId="0">
      <sharedItems count="5">
        <s v="Cash on Delivery"/>
        <s v="UPI"/>
        <s v="Debit Card"/>
        <s v="Credit Card"/>
        <s v="Net Banking"/>
      </sharedItems>
    </cacheField>
    <cacheField name="Ship Mode" numFmtId="0">
      <sharedItems/>
    </cacheField>
    <cacheField name="Delivery Days" numFmtId="0">
      <sharedItems containsSemiMixedTypes="0" containsString="0" containsNumber="1" containsInteger="1" minValue="0" maxValue="7"/>
    </cacheField>
    <cacheField name="Order Status" numFmtId="0">
      <sharedItems count="4">
        <s v="Delivered"/>
        <s v="Processing"/>
        <s v="Shipped"/>
        <s v="Returned"/>
      </sharedItems>
    </cacheField>
  </cacheFields>
  <extLst>
    <ext xmlns:x14="http://schemas.microsoft.com/office/spreadsheetml/2009/9/main" uri="{725AE2AE-9491-48be-B2B4-4EB974FC3084}">
      <x14:pivotCacheDefinition pivotCacheId="126463130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 mavi" refreshedDate="46240.850538773149" createdVersion="8" refreshedVersion="8" minRefreshableVersion="3" recordCount="250" xr:uid="{56B86E1D-A6FC-435F-8B33-7BEF2DB5AEFE}">
  <cacheSource type="worksheet">
    <worksheetSource ref="A2:Y252" sheet="reports" r:id="rId2"/>
  </cacheSource>
  <cacheFields count="25">
    <cacheField name="Order ID" numFmtId="0">
      <sharedItems containsBlank="1"/>
    </cacheField>
    <cacheField name="Order Date" numFmtId="0">
      <sharedItems containsBlank="1"/>
    </cacheField>
    <cacheField name="Month" numFmtId="0">
      <sharedItems containsBlank="1"/>
    </cacheField>
    <cacheField name="Quarter" numFmtId="0">
      <sharedItems containsBlank="1"/>
    </cacheField>
    <cacheField name="Year" numFmtId="0">
      <sharedItems containsString="0" containsBlank="1" containsNumber="1" containsInteger="1" minValue="2025" maxValue="2025"/>
    </cacheField>
    <cacheField name="Region" numFmtId="0">
      <sharedItems containsBlank="1"/>
    </cacheField>
    <cacheField name="State" numFmtId="0">
      <sharedItems containsBlank="1"/>
    </cacheField>
    <cacheField name="City" numFmtId="0">
      <sharedItems containsBlank="1"/>
    </cacheField>
    <cacheField name="Sales Channel" numFmtId="0">
      <sharedItems containsBlank="1"/>
    </cacheField>
    <cacheField name="Customer Segment" numFmtId="0">
      <sharedItems containsBlank="1"/>
    </cacheField>
    <cacheField name="Salesperson" numFmtId="0">
      <sharedItems containsBlank="1"/>
    </cacheField>
    <cacheField name="Category" numFmtId="0">
      <sharedItems containsBlank="1"/>
    </cacheField>
    <cacheField name="Sub-Category" numFmtId="0">
      <sharedItems containsBlank="1"/>
    </cacheField>
    <cacheField name="Product" numFmtId="0">
      <sharedItems containsBlank="1"/>
    </cacheField>
    <cacheField name="Units Sold" numFmtId="0">
      <sharedItems containsString="0" containsBlank="1" containsNumber="1" containsInteger="1" minValue="1" maxValue="30"/>
    </cacheField>
    <cacheField name="Unit Price" numFmtId="0">
      <sharedItems containsString="0" containsBlank="1" containsNumber="1" containsInteger="1" minValue="47" maxValue="71049"/>
    </cacheField>
    <cacheField name="Discount %" numFmtId="0">
      <sharedItems containsString="0" containsBlank="1" containsNumber="1" minValue="0" maxValue="0.18"/>
    </cacheField>
    <cacheField name="Sales Amount" numFmtId="0">
      <sharedItems containsString="0" containsBlank="1" containsNumber="1" minValue="419.84" maxValue="373464.96"/>
    </cacheField>
    <cacheField name="Cost Amount" numFmtId="0">
      <sharedItems containsString="0" containsBlank="1" containsNumber="1" minValue="260.3" maxValue="328649.15999999997"/>
    </cacheField>
    <cacheField name="Profit" numFmtId="0">
      <sharedItems containsString="0" containsBlank="1" containsNumber="1" minValue="159.54" maxValue="57129.599999999999" count="251">
        <n v="5261.48"/>
        <n v="27868.32"/>
        <n v="15683.18"/>
        <n v="1878.33"/>
        <n v="4090.46"/>
        <n v="845.08"/>
        <n v="6989.37"/>
        <n v="469.93"/>
        <n v="44059.96"/>
        <n v="1799.1"/>
        <n v="3735.72"/>
        <n v="3893.29"/>
        <n v="1000.69"/>
        <n v="7199.71"/>
        <n v="4056.56"/>
        <n v="21249.09"/>
        <n v="8351.64"/>
        <n v="2358.58"/>
        <n v="10042.030000000001"/>
        <n v="6304.72"/>
        <n v="1795.66"/>
        <n v="298.74"/>
        <n v="7845.15"/>
        <n v="6414.4"/>
        <n v="4666.3900000000003"/>
        <n v="1527.31"/>
        <n v="4456.71"/>
        <n v="11232.21"/>
        <n v="8516.51"/>
        <n v="5482.72"/>
        <n v="14397.87"/>
        <n v="1433.26"/>
        <n v="36095.89"/>
        <n v="2611.6999999999998"/>
        <n v="6598.33"/>
        <n v="10009.82"/>
        <n v="1142.4100000000001"/>
        <n v="8786.19"/>
        <n v="4444.05"/>
        <n v="6248.79"/>
        <n v="607.1"/>
        <n v="467.05"/>
        <n v="2116.39"/>
        <n v="967.08"/>
        <n v="1731.66"/>
        <n v="2816.1"/>
        <n v="3028.32"/>
        <n v="21370.25"/>
        <n v="449.29"/>
        <n v="15211.68"/>
        <n v="5612.34"/>
        <n v="1661.44"/>
        <n v="25544.66"/>
        <n v="4307.34"/>
        <n v="7561.32"/>
        <n v="516.78"/>
        <n v="2402.6999999999998"/>
        <n v="13176.4"/>
        <n v="12185.08"/>
        <n v="31644.84"/>
        <n v="4546.08"/>
        <n v="6209.99"/>
        <n v="17378.16"/>
        <n v="18675.14"/>
        <n v="16521.79"/>
        <n v="5132.16"/>
        <n v="598.69000000000005"/>
        <n v="1608.48"/>
        <n v="2816.87"/>
        <n v="29641.7"/>
        <n v="35013.43"/>
        <n v="2285.0500000000002"/>
        <n v="972.48"/>
        <n v="353.27"/>
        <n v="1203.8399999999999"/>
        <n v="8126.47"/>
        <n v="2659.33"/>
        <n v="2174.44"/>
        <n v="579.83000000000004"/>
        <n v="3007.7"/>
        <n v="24908.080000000002"/>
        <n v="2734.79"/>
        <n v="1029.24"/>
        <n v="4614.6499999999996"/>
        <n v="2848.91"/>
        <n v="25758.31"/>
        <n v="51952.67"/>
        <n v="42550.5"/>
        <n v="6353.09"/>
        <n v="21218.75"/>
        <n v="3341.66"/>
        <n v="17721.330000000002"/>
        <n v="1159.55"/>
        <n v="8693.14"/>
        <n v="1973.66"/>
        <n v="6169.98"/>
        <n v="14321.88"/>
        <n v="4233.2299999999996"/>
        <n v="27370.35"/>
        <n v="2405.4"/>
        <n v="6232.04"/>
        <n v="46220.39"/>
        <n v="5603.47"/>
        <n v="14618.34"/>
        <n v="1020.76"/>
        <n v="22252.55"/>
        <n v="800.99"/>
        <n v="18984.400000000001"/>
        <n v="14485.36"/>
        <n v="2031.48"/>
        <n v="35886.76"/>
        <n v="242.16"/>
        <n v="4820.82"/>
        <n v="4318.41"/>
        <n v="609.29"/>
        <n v="6882.25"/>
        <n v="23407.88"/>
        <n v="386.47"/>
        <n v="14354.65"/>
        <n v="817.66"/>
        <n v="5528.5"/>
        <n v="42886.79"/>
        <n v="39374.31"/>
        <n v="4048.67"/>
        <n v="7693.67"/>
        <n v="9518.9699999999993"/>
        <n v="55241.11"/>
        <n v="8244.5300000000007"/>
        <n v="767.88"/>
        <n v="2081.5700000000002"/>
        <n v="666.11"/>
        <n v="5771.23"/>
        <n v="3155.01"/>
        <n v="23439.15"/>
        <n v="44191.32"/>
        <n v="32368.32"/>
        <n v="1366.73"/>
        <n v="4223.72"/>
        <n v="28605.759999999998"/>
        <n v="669.66"/>
        <n v="1023.12"/>
        <n v="1067.04"/>
        <n v="642.47"/>
        <n v="8230.23"/>
        <n v="57129.599999999999"/>
        <n v="562.89"/>
        <n v="913.99"/>
        <n v="1441.44"/>
        <n v="4481.6000000000004"/>
        <n v="15235.2"/>
        <n v="6430.08"/>
        <n v="44815.8"/>
        <n v="1893.09"/>
        <n v="3079.59"/>
        <n v="16033"/>
        <n v="4154.28"/>
        <n v="3090.02"/>
        <n v="4809.3599999999997"/>
        <n v="5641.65"/>
        <n v="4707.66"/>
        <n v="7447.7"/>
        <n v="449.74"/>
        <n v="6837.67"/>
        <n v="7162.23"/>
        <n v="2633.87"/>
        <n v="1296.76"/>
        <n v="1434.51"/>
        <n v="6507.43"/>
        <n v="10781.28"/>
        <n v="159.54"/>
        <n v="870.54"/>
        <n v="2109.7399999999998"/>
        <n v="2549.5300000000002"/>
        <n v="6027.84"/>
        <n v="21796.58"/>
        <n v="6155.52"/>
        <n v="12728.11"/>
        <n v="6349.56"/>
        <n v="1783.14"/>
        <n v="14920.4"/>
        <n v="5486.78"/>
        <n v="5467.4"/>
        <n v="2147.9"/>
        <n v="25502.400000000001"/>
        <n v="12184.92"/>
        <n v="2359.9"/>
        <n v="7327.16"/>
        <n v="4469.03"/>
        <n v="15659.35"/>
        <n v="1538.6"/>
        <n v="14275.7"/>
        <n v="7945.26"/>
        <n v="5156.17"/>
        <n v="999.65"/>
        <n v="555.09"/>
        <n v="7693.81"/>
        <n v="1998.82"/>
        <n v="10179.65"/>
        <n v="10163.82"/>
        <n v="3019.44"/>
        <n v="650.25"/>
        <n v="1172.52"/>
        <n v="25431.18"/>
        <n v="1075.5899999999999"/>
        <n v="2529.7800000000002"/>
        <n v="1399"/>
        <n v="491.42"/>
        <n v="314.04000000000002"/>
        <n v="7279.22"/>
        <n v="4489.9399999999996"/>
        <n v="19154.23"/>
        <n v="8686.5"/>
        <n v="5071.97"/>
        <n v="2240.67"/>
        <n v="4469.5200000000004"/>
        <n v="4995.53"/>
        <n v="1463.2"/>
        <n v="7101.49"/>
        <n v="2157.38"/>
        <n v="17501.86"/>
        <n v="32263.75"/>
        <n v="20739.07"/>
        <n v="7993.95"/>
        <n v="2285.92"/>
        <n v="3266.03"/>
        <n v="42797.75"/>
        <n v="1493.64"/>
        <n v="1360.38"/>
        <n v="2833.08"/>
        <n v="4429.41"/>
        <n v="4479.6000000000004"/>
        <n v="6045.77"/>
        <n v="8402.82"/>
        <n v="44806.86"/>
        <n v="1207.3"/>
        <n v="6358.6"/>
        <n v="4227.41"/>
        <n v="4265.57"/>
        <n v="30799.49"/>
        <n v="4828.16"/>
        <n v="360.47"/>
        <n v="18343.41"/>
        <n v="1564.98"/>
        <n v="1401.82"/>
        <n v="13287.41"/>
        <n v="30897.77"/>
        <n v="38723.9"/>
        <n v="8210.09"/>
        <n v="1430.96"/>
        <m/>
        <n v="32579.87" u="1"/>
      </sharedItems>
    </cacheField>
    <cacheField name="Profit %" numFmtId="10">
      <sharedItems containsString="0" containsBlank="1" containsNumber="1" minValue="0.12" maxValue="0.43"/>
    </cacheField>
    <cacheField name="Payment Mode" numFmtId="0">
      <sharedItems containsBlank="1" count="6">
        <s v="Cash on Delivery"/>
        <s v="UPI"/>
        <s v="Debit Card"/>
        <s v="Credit Card"/>
        <s v="Net Banking"/>
        <m/>
      </sharedItems>
    </cacheField>
    <cacheField name="Ship Mode" numFmtId="0">
      <sharedItems containsBlank="1"/>
    </cacheField>
    <cacheField name="Delivery Days" numFmtId="0">
      <sharedItems containsString="0" containsBlank="1" containsNumber="1" containsInteger="1" minValue="0" maxValue="7"/>
    </cacheField>
    <cacheField name="Order Status" numFmtId="0">
      <sharedItems containsBlank="1" count="5">
        <s v="Delivered"/>
        <s v="Processing"/>
        <s v="Shipped"/>
        <s v="Returned"/>
        <m/>
      </sharedItems>
    </cacheField>
  </cacheFields>
  <extLst>
    <ext xmlns:x14="http://schemas.microsoft.com/office/spreadsheetml/2009/9/main" uri="{725AE2AE-9491-48be-B2B4-4EB974FC3084}">
      <x14:pivotCacheDefinition pivotCacheId="20981768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s v="ORD20250001"/>
    <x v="0"/>
    <s v="Mar"/>
    <x v="0"/>
    <n v="2025"/>
    <x v="0"/>
    <x v="0"/>
    <x v="0"/>
    <s v="Distributor"/>
    <s v="Consumer"/>
    <x v="0"/>
    <x v="0"/>
    <s v="Women"/>
    <x v="0"/>
    <n v="7"/>
    <n v="1900"/>
    <n v="0.08"/>
    <x v="0"/>
    <n v="6974.52"/>
    <n v="5261.48"/>
    <n v="0.43"/>
    <x v="0"/>
    <s v="Standard"/>
    <n v="7"/>
    <x v="0"/>
  </r>
  <r>
    <s v="ORD20250002"/>
    <x v="1"/>
    <s v="Mar"/>
    <x v="0"/>
    <n v="2025"/>
    <x v="1"/>
    <x v="1"/>
    <x v="1"/>
    <s v="Retail Store"/>
    <s v="Home Office"/>
    <x v="1"/>
    <x v="1"/>
    <s v="Mobile"/>
    <x v="1"/>
    <n v="4"/>
    <n v="64510"/>
    <n v="0.1"/>
    <x v="1"/>
    <n v="204367.68"/>
    <n v="27868.32"/>
    <n v="0.12"/>
    <x v="1"/>
    <s v="Express"/>
    <n v="3"/>
    <x v="0"/>
  </r>
  <r>
    <s v="ORD20250003"/>
    <x v="2"/>
    <s v="Dec"/>
    <x v="1"/>
    <n v="2025"/>
    <x v="0"/>
    <x v="2"/>
    <x v="2"/>
    <s v="Distributor"/>
    <s v="Corporate"/>
    <x v="2"/>
    <x v="1"/>
    <s v="Laptop"/>
    <x v="2"/>
    <n v="2"/>
    <n v="59406"/>
    <n v="0.12"/>
    <x v="2"/>
    <n v="88871.38"/>
    <n v="15683.18"/>
    <n v="0.15"/>
    <x v="2"/>
    <s v="Standard"/>
    <n v="5"/>
    <x v="0"/>
  </r>
  <r>
    <s v="ORD20250004"/>
    <x v="3"/>
    <s v="Jul"/>
    <x v="2"/>
    <n v="2025"/>
    <x v="1"/>
    <x v="3"/>
    <x v="3"/>
    <s v="Retail Store"/>
    <s v="Consumer"/>
    <x v="3"/>
    <x v="2"/>
    <s v="Table"/>
    <x v="3"/>
    <n v="1"/>
    <n v="6477"/>
    <n v="0"/>
    <x v="3"/>
    <n v="4598.67"/>
    <n v="1878.33"/>
    <n v="0.28999999999999998"/>
    <x v="3"/>
    <s v="Express"/>
    <n v="3"/>
    <x v="0"/>
  </r>
  <r>
    <s v="ORD20250005"/>
    <x v="2"/>
    <s v="Dec"/>
    <x v="1"/>
    <n v="2025"/>
    <x v="1"/>
    <x v="3"/>
    <x v="3"/>
    <s v="Retail Store"/>
    <s v="Home Office"/>
    <x v="2"/>
    <x v="0"/>
    <s v="Men"/>
    <x v="4"/>
    <n v="5"/>
    <n v="2029"/>
    <n v="0.04"/>
    <x v="4"/>
    <n v="5648.74"/>
    <n v="4090.46"/>
    <n v="0.42"/>
    <x v="0"/>
    <s v="Standard"/>
    <n v="6"/>
    <x v="0"/>
  </r>
  <r>
    <s v="ORD20250006"/>
    <x v="4"/>
    <s v="Feb"/>
    <x v="0"/>
    <n v="2025"/>
    <x v="1"/>
    <x v="3"/>
    <x v="3"/>
    <s v="Retail Store"/>
    <s v="Home Office"/>
    <x v="4"/>
    <x v="0"/>
    <s v="Men"/>
    <x v="4"/>
    <n v="2"/>
    <n v="1059"/>
    <n v="0.05"/>
    <x v="5"/>
    <n v="1167.02"/>
    <n v="845.08"/>
    <n v="0.42"/>
    <x v="1"/>
    <s v="Same Day"/>
    <n v="0"/>
    <x v="1"/>
  </r>
  <r>
    <s v="ORD20250007"/>
    <x v="5"/>
    <s v="Dec"/>
    <x v="1"/>
    <n v="2025"/>
    <x v="2"/>
    <x v="4"/>
    <x v="4"/>
    <s v="Online"/>
    <s v="Consumer"/>
    <x v="5"/>
    <x v="0"/>
    <s v="Men"/>
    <x v="4"/>
    <n v="12"/>
    <n v="1594"/>
    <n v="0.13"/>
    <x v="6"/>
    <n v="9651.99"/>
    <n v="6989.37"/>
    <n v="0.42"/>
    <x v="0"/>
    <s v="Same Day"/>
    <n v="0"/>
    <x v="1"/>
  </r>
  <r>
    <s v="ORD20250008"/>
    <x v="6"/>
    <s v="Jun"/>
    <x v="3"/>
    <n v="2025"/>
    <x v="3"/>
    <x v="5"/>
    <x v="5"/>
    <s v="Retail Store"/>
    <s v="Consumer"/>
    <x v="3"/>
    <x v="3"/>
    <s v="Snacks"/>
    <x v="5"/>
    <n v="9"/>
    <n v="148"/>
    <n v="0.02"/>
    <x v="7"/>
    <n v="835.43"/>
    <n v="469.93"/>
    <n v="0.36"/>
    <x v="4"/>
    <s v="Same Day"/>
    <n v="0"/>
    <x v="2"/>
  </r>
  <r>
    <s v="ORD20250009"/>
    <x v="7"/>
    <s v="Oct"/>
    <x v="1"/>
    <n v="2025"/>
    <x v="1"/>
    <x v="6"/>
    <x v="6"/>
    <s v="Retail Store"/>
    <s v="Corporate"/>
    <x v="5"/>
    <x v="1"/>
    <s v="Mobile"/>
    <x v="1"/>
    <n v="6"/>
    <n v="63087"/>
    <n v="0.03"/>
    <x v="8"/>
    <n v="323106.38"/>
    <n v="44059.96"/>
    <n v="0.12"/>
    <x v="1"/>
    <s v="Standard"/>
    <n v="4"/>
    <x v="1"/>
  </r>
  <r>
    <s v="ORD20250010"/>
    <x v="7"/>
    <s v="Oct"/>
    <x v="1"/>
    <n v="2025"/>
    <x v="0"/>
    <x v="2"/>
    <x v="2"/>
    <s v="Distributor"/>
    <s v="Consumer"/>
    <x v="5"/>
    <x v="3"/>
    <s v="Beverages"/>
    <x v="6"/>
    <n v="27"/>
    <n v="239"/>
    <n v="0.18"/>
    <x v="9"/>
    <n v="3492.36"/>
    <n v="1799.1"/>
    <n v="0.34"/>
    <x v="0"/>
    <s v="Standard"/>
    <n v="6"/>
    <x v="0"/>
  </r>
  <r>
    <s v="ORD20250011"/>
    <x v="8"/>
    <s v="May"/>
    <x v="3"/>
    <n v="2025"/>
    <x v="3"/>
    <x v="7"/>
    <x v="7"/>
    <s v="Distributor"/>
    <s v="Home Office"/>
    <x v="6"/>
    <x v="2"/>
    <s v="Chair"/>
    <x v="7"/>
    <n v="2"/>
    <n v="7251"/>
    <n v="0.08"/>
    <x v="10"/>
    <n v="9606.1200000000008"/>
    <n v="3735.72"/>
    <n v="0.28000000000000003"/>
    <x v="0"/>
    <s v="Same Day"/>
    <n v="0"/>
    <x v="3"/>
  </r>
  <r>
    <s v="ORD20250012"/>
    <x v="9"/>
    <s v="Mar"/>
    <x v="0"/>
    <n v="2025"/>
    <x v="0"/>
    <x v="0"/>
    <x v="8"/>
    <s v="Online"/>
    <s v="Consumer"/>
    <x v="0"/>
    <x v="1"/>
    <s v="Accessories"/>
    <x v="8"/>
    <n v="6"/>
    <n v="2301"/>
    <n v="0.06"/>
    <x v="11"/>
    <n v="9084.35"/>
    <n v="3893.29"/>
    <n v="0.3"/>
    <x v="2"/>
    <s v="Same Day"/>
    <n v="0"/>
    <x v="0"/>
  </r>
  <r>
    <s v="ORD20250013"/>
    <x v="10"/>
    <s v="Jul"/>
    <x v="2"/>
    <n v="2025"/>
    <x v="3"/>
    <x v="5"/>
    <x v="5"/>
    <s v="Distributor"/>
    <s v="Consumer"/>
    <x v="7"/>
    <x v="3"/>
    <s v="Beverages"/>
    <x v="9"/>
    <n v="10"/>
    <n v="361"/>
    <n v="0.16"/>
    <x v="12"/>
    <n v="2031.71"/>
    <n v="1000.69"/>
    <n v="0.33"/>
    <x v="3"/>
    <s v="Express"/>
    <n v="3"/>
    <x v="2"/>
  </r>
  <r>
    <s v="ORD20250014"/>
    <x v="11"/>
    <s v="Nov"/>
    <x v="1"/>
    <n v="2025"/>
    <x v="3"/>
    <x v="5"/>
    <x v="5"/>
    <s v="Online"/>
    <s v="Home Office"/>
    <x v="3"/>
    <x v="2"/>
    <s v="Chair"/>
    <x v="10"/>
    <n v="3"/>
    <n v="10256"/>
    <n v="0.1"/>
    <x v="13"/>
    <n v="20491.490000000002"/>
    <n v="7199.71"/>
    <n v="0.26"/>
    <x v="0"/>
    <s v="Same Day"/>
    <n v="0"/>
    <x v="0"/>
  </r>
  <r>
    <s v="ORD20250015"/>
    <x v="12"/>
    <s v="Mar"/>
    <x v="0"/>
    <n v="2025"/>
    <x v="3"/>
    <x v="5"/>
    <x v="5"/>
    <s v="Retail Store"/>
    <s v="Consumer"/>
    <x v="7"/>
    <x v="2"/>
    <s v="Table"/>
    <x v="11"/>
    <n v="1"/>
    <n v="18574"/>
    <n v="0.09"/>
    <x v="14"/>
    <n v="12845.78"/>
    <n v="4056.56"/>
    <n v="0.24"/>
    <x v="4"/>
    <s v="Express"/>
    <n v="1"/>
    <x v="3"/>
  </r>
  <r>
    <s v="ORD20250016"/>
    <x v="13"/>
    <s v="Feb"/>
    <x v="0"/>
    <n v="2025"/>
    <x v="2"/>
    <x v="4"/>
    <x v="9"/>
    <s v="Distributor"/>
    <s v="Corporate"/>
    <x v="8"/>
    <x v="1"/>
    <s v="Mobile"/>
    <x v="12"/>
    <n v="6"/>
    <n v="22878"/>
    <n v="0.14000000000000001"/>
    <x v="15"/>
    <n v="96801.39"/>
    <n v="21249.09"/>
    <n v="0.18"/>
    <x v="0"/>
    <s v="Express"/>
    <n v="2"/>
    <x v="2"/>
  </r>
  <r>
    <s v="ORD20250017"/>
    <x v="14"/>
    <s v="Feb"/>
    <x v="0"/>
    <n v="2025"/>
    <x v="2"/>
    <x v="8"/>
    <x v="10"/>
    <s v="Retail Store"/>
    <s v="Home Office"/>
    <x v="6"/>
    <x v="0"/>
    <s v="Men"/>
    <x v="13"/>
    <n v="10"/>
    <n v="2109"/>
    <n v="0.01"/>
    <x v="16"/>
    <n v="12527.46"/>
    <n v="8351.64"/>
    <n v="0.4"/>
    <x v="1"/>
    <s v="Express"/>
    <n v="2"/>
    <x v="0"/>
  </r>
  <r>
    <s v="ORD20250018"/>
    <x v="15"/>
    <s v="Sep"/>
    <x v="2"/>
    <n v="2025"/>
    <x v="1"/>
    <x v="3"/>
    <x v="3"/>
    <s v="Distributor"/>
    <s v="Consumer"/>
    <x v="1"/>
    <x v="0"/>
    <s v="Women"/>
    <x v="0"/>
    <n v="2"/>
    <n v="3189"/>
    <n v="0.14000000000000001"/>
    <x v="17"/>
    <n v="3126.5"/>
    <n v="2358.58"/>
    <n v="0.43"/>
    <x v="2"/>
    <s v="Express"/>
    <n v="1"/>
    <x v="0"/>
  </r>
  <r>
    <s v="ORD20250019"/>
    <x v="16"/>
    <s v="Jun"/>
    <x v="3"/>
    <n v="2025"/>
    <x v="0"/>
    <x v="0"/>
    <x v="0"/>
    <s v="Distributor"/>
    <s v="Consumer"/>
    <x v="9"/>
    <x v="2"/>
    <s v="Table"/>
    <x v="11"/>
    <n v="2"/>
    <n v="22990"/>
    <n v="0.09"/>
    <x v="18"/>
    <n v="31799.77"/>
    <n v="10042.030000000001"/>
    <n v="0.24"/>
    <x v="0"/>
    <s v="Same Day"/>
    <n v="0"/>
    <x v="0"/>
  </r>
  <r>
    <s v="ORD20250020"/>
    <x v="17"/>
    <s v="Apr"/>
    <x v="3"/>
    <n v="2025"/>
    <x v="1"/>
    <x v="6"/>
    <x v="11"/>
    <s v="Online"/>
    <s v="Consumer"/>
    <x v="8"/>
    <x v="0"/>
    <s v="Men"/>
    <x v="13"/>
    <n v="9"/>
    <n v="2013"/>
    <n v="0.13"/>
    <x v="19"/>
    <n v="9457.07"/>
    <n v="6304.72"/>
    <n v="0.4"/>
    <x v="3"/>
    <s v="Express"/>
    <n v="2"/>
    <x v="2"/>
  </r>
  <r>
    <s v="ORD20250021"/>
    <x v="18"/>
    <s v="Dec"/>
    <x v="1"/>
    <n v="2025"/>
    <x v="1"/>
    <x v="9"/>
    <x v="12"/>
    <s v="Retail Store"/>
    <s v="Corporate"/>
    <x v="7"/>
    <x v="2"/>
    <s v="Table"/>
    <x v="3"/>
    <n v="1"/>
    <n v="6658"/>
    <n v="7.0000000000000007E-2"/>
    <x v="20"/>
    <n v="4396.28"/>
    <n v="1795.66"/>
    <n v="0.28999999999999998"/>
    <x v="4"/>
    <s v="Same Day"/>
    <n v="0"/>
    <x v="0"/>
  </r>
  <r>
    <s v="ORD20250022"/>
    <x v="19"/>
    <s v="Apr"/>
    <x v="3"/>
    <n v="2025"/>
    <x v="1"/>
    <x v="9"/>
    <x v="12"/>
    <s v="Retail Store"/>
    <s v="Corporate"/>
    <x v="0"/>
    <x v="3"/>
    <s v="Snacks"/>
    <x v="5"/>
    <n v="11"/>
    <n v="82"/>
    <n v="0.08"/>
    <x v="21"/>
    <n v="531.1"/>
    <n v="298.74"/>
    <n v="0.36"/>
    <x v="1"/>
    <s v="Express"/>
    <n v="2"/>
    <x v="0"/>
  </r>
  <r>
    <s v="ORD20250023"/>
    <x v="20"/>
    <s v="Feb"/>
    <x v="0"/>
    <n v="2025"/>
    <x v="0"/>
    <x v="0"/>
    <x v="0"/>
    <s v="Retail Store"/>
    <s v="Consumer"/>
    <x v="2"/>
    <x v="1"/>
    <s v="Mobile"/>
    <x v="1"/>
    <n v="1"/>
    <n v="70297"/>
    <n v="7.0000000000000007E-2"/>
    <x v="22"/>
    <n v="57531.06"/>
    <n v="7845.15"/>
    <n v="0.12"/>
    <x v="2"/>
    <s v="Same Day"/>
    <n v="0"/>
    <x v="0"/>
  </r>
  <r>
    <s v="ORD20250024"/>
    <x v="21"/>
    <s v="Nov"/>
    <x v="1"/>
    <n v="2025"/>
    <x v="0"/>
    <x v="2"/>
    <x v="13"/>
    <s v="Online"/>
    <s v="Consumer"/>
    <x v="2"/>
    <x v="0"/>
    <s v="Women"/>
    <x v="0"/>
    <n v="8"/>
    <n v="2005"/>
    <n v="7.0000000000000007E-2"/>
    <x v="23"/>
    <n v="8502.7999999999993"/>
    <n v="6414.4"/>
    <n v="0.43"/>
    <x v="3"/>
    <s v="Same Day"/>
    <n v="0"/>
    <x v="2"/>
  </r>
  <r>
    <s v="ORD20250025"/>
    <x v="22"/>
    <s v="Nov"/>
    <x v="1"/>
    <n v="2025"/>
    <x v="2"/>
    <x v="8"/>
    <x v="10"/>
    <s v="Online"/>
    <s v="Consumer"/>
    <x v="0"/>
    <x v="2"/>
    <s v="Table"/>
    <x v="11"/>
    <n v="1"/>
    <n v="21134"/>
    <n v="0.08"/>
    <x v="24"/>
    <n v="14776.89"/>
    <n v="4666.3900000000003"/>
    <n v="0.24"/>
    <x v="1"/>
    <s v="Standard"/>
    <n v="3"/>
    <x v="3"/>
  </r>
  <r>
    <s v="ORD20250026"/>
    <x v="2"/>
    <s v="Dec"/>
    <x v="1"/>
    <n v="2025"/>
    <x v="2"/>
    <x v="4"/>
    <x v="14"/>
    <s v="Distributor"/>
    <s v="Corporate"/>
    <x v="3"/>
    <x v="2"/>
    <s v="Table"/>
    <x v="3"/>
    <n v="1"/>
    <n v="6196"/>
    <n v="0.15"/>
    <x v="25"/>
    <n v="3739.29"/>
    <n v="1527.31"/>
    <n v="0.28999999999999998"/>
    <x v="1"/>
    <s v="Standard"/>
    <n v="3"/>
    <x v="0"/>
  </r>
  <r>
    <s v="ORD20250027"/>
    <x v="23"/>
    <s v="Feb"/>
    <x v="0"/>
    <n v="2025"/>
    <x v="2"/>
    <x v="10"/>
    <x v="15"/>
    <s v="Online"/>
    <s v="Consumer"/>
    <x v="8"/>
    <x v="0"/>
    <s v="Women"/>
    <x v="14"/>
    <n v="2"/>
    <n v="7003"/>
    <n v="0.14000000000000001"/>
    <x v="26"/>
    <n v="7588.45"/>
    <n v="4456.71"/>
    <n v="0.37"/>
    <x v="3"/>
    <s v="Standard"/>
    <n v="3"/>
    <x v="1"/>
  </r>
  <r>
    <s v="ORD20250028"/>
    <x v="24"/>
    <s v="Apr"/>
    <x v="3"/>
    <n v="2025"/>
    <x v="0"/>
    <x v="11"/>
    <x v="16"/>
    <s v="Online"/>
    <s v="Corporate"/>
    <x v="6"/>
    <x v="1"/>
    <s v="Mobile"/>
    <x v="12"/>
    <n v="3"/>
    <n v="22366"/>
    <n v="7.0000000000000007E-2"/>
    <x v="27"/>
    <n v="51168.93"/>
    <n v="11232.21"/>
    <n v="0.18"/>
    <x v="2"/>
    <s v="Express"/>
    <n v="3"/>
    <x v="1"/>
  </r>
  <r>
    <s v="ORD20250029"/>
    <x v="25"/>
    <s v="Jan"/>
    <x v="0"/>
    <n v="2025"/>
    <x v="2"/>
    <x v="8"/>
    <x v="10"/>
    <s v="Online"/>
    <s v="Corporate"/>
    <x v="0"/>
    <x v="1"/>
    <s v="Laptop"/>
    <x v="2"/>
    <n v="1"/>
    <n v="64519"/>
    <n v="0.12"/>
    <x v="28"/>
    <n v="48260.21"/>
    <n v="8516.51"/>
    <n v="0.15"/>
    <x v="3"/>
    <s v="Express"/>
    <n v="3"/>
    <x v="0"/>
  </r>
  <r>
    <s v="ORD20250030"/>
    <x v="26"/>
    <s v="Jun"/>
    <x v="3"/>
    <n v="2025"/>
    <x v="1"/>
    <x v="6"/>
    <x v="11"/>
    <s v="Retail Store"/>
    <s v="Corporate"/>
    <x v="3"/>
    <x v="0"/>
    <s v="Women"/>
    <x v="14"/>
    <n v="2"/>
    <n v="7882"/>
    <n v="0.06"/>
    <x v="29"/>
    <n v="9335.44"/>
    <n v="5482.72"/>
    <n v="0.37"/>
    <x v="0"/>
    <s v="Same Day"/>
    <n v="0"/>
    <x v="2"/>
  </r>
  <r>
    <s v="ORD20250031"/>
    <x v="19"/>
    <s v="Apr"/>
    <x v="3"/>
    <n v="2025"/>
    <x v="3"/>
    <x v="7"/>
    <x v="17"/>
    <s v="Distributor"/>
    <s v="Corporate"/>
    <x v="4"/>
    <x v="1"/>
    <s v="Mobile"/>
    <x v="12"/>
    <n v="4"/>
    <n v="23806"/>
    <n v="0.16"/>
    <x v="30"/>
    <n v="65590.289999999994"/>
    <n v="14397.87"/>
    <n v="0.18"/>
    <x v="1"/>
    <s v="Same Day"/>
    <n v="0"/>
    <x v="3"/>
  </r>
  <r>
    <s v="ORD20250032"/>
    <x v="27"/>
    <s v="May"/>
    <x v="3"/>
    <n v="2025"/>
    <x v="3"/>
    <x v="5"/>
    <x v="5"/>
    <s v="Distributor"/>
    <s v="Corporate"/>
    <x v="8"/>
    <x v="3"/>
    <s v="Beverages"/>
    <x v="9"/>
    <n v="16"/>
    <n v="305"/>
    <n v="0.11"/>
    <x v="31"/>
    <n v="2909.94"/>
    <n v="1433.26"/>
    <n v="0.33"/>
    <x v="4"/>
    <s v="Standard"/>
    <n v="6"/>
    <x v="1"/>
  </r>
  <r>
    <s v="ORD20250033"/>
    <x v="28"/>
    <s v="Jul"/>
    <x v="2"/>
    <n v="2025"/>
    <x v="1"/>
    <x v="6"/>
    <x v="11"/>
    <s v="Online"/>
    <s v="Corporate"/>
    <x v="3"/>
    <x v="1"/>
    <s v="Laptop"/>
    <x v="2"/>
    <n v="5"/>
    <n v="56621"/>
    <n v="0.15"/>
    <x v="32"/>
    <n v="204543.35999999999"/>
    <n v="36095.89"/>
    <n v="0.15"/>
    <x v="2"/>
    <s v="Same Day"/>
    <n v="0"/>
    <x v="0"/>
  </r>
  <r>
    <s v="ORD20250034"/>
    <x v="29"/>
    <s v="Jun"/>
    <x v="3"/>
    <n v="2025"/>
    <x v="2"/>
    <x v="4"/>
    <x v="14"/>
    <s v="Distributor"/>
    <s v="Corporate"/>
    <x v="7"/>
    <x v="0"/>
    <s v="Men"/>
    <x v="13"/>
    <n v="5"/>
    <n v="1435"/>
    <n v="0.09"/>
    <x v="33"/>
    <n v="3917.55"/>
    <n v="2611.6999999999998"/>
    <n v="0.4"/>
    <x v="2"/>
    <s v="Standard"/>
    <n v="3"/>
    <x v="0"/>
  </r>
  <r>
    <s v="ORD20250035"/>
    <x v="30"/>
    <s v="Jan"/>
    <x v="0"/>
    <n v="2025"/>
    <x v="2"/>
    <x v="10"/>
    <x v="18"/>
    <s v="Retail Store"/>
    <s v="Home Office"/>
    <x v="2"/>
    <x v="2"/>
    <s v="Chair"/>
    <x v="10"/>
    <n v="2"/>
    <n v="14099"/>
    <n v="0.1"/>
    <x v="34"/>
    <n v="18779.87"/>
    <n v="6598.33"/>
    <n v="0.26"/>
    <x v="1"/>
    <s v="Express"/>
    <n v="3"/>
    <x v="0"/>
  </r>
  <r>
    <s v="ORD20250036"/>
    <x v="31"/>
    <s v="Aug"/>
    <x v="2"/>
    <n v="2025"/>
    <x v="1"/>
    <x v="6"/>
    <x v="11"/>
    <s v="Distributor"/>
    <s v="Corporate"/>
    <x v="6"/>
    <x v="1"/>
    <s v="Mobile"/>
    <x v="12"/>
    <n v="2"/>
    <n v="30555"/>
    <n v="0.09"/>
    <x v="35"/>
    <n v="45600.28"/>
    <n v="10009.82"/>
    <n v="0.18"/>
    <x v="1"/>
    <s v="Express"/>
    <n v="3"/>
    <x v="0"/>
  </r>
  <r>
    <s v="ORD20250037"/>
    <x v="32"/>
    <s v="Dec"/>
    <x v="1"/>
    <n v="2025"/>
    <x v="0"/>
    <x v="2"/>
    <x v="13"/>
    <s v="Distributor"/>
    <s v="Corporate"/>
    <x v="4"/>
    <x v="1"/>
    <s v="Accessories"/>
    <x v="8"/>
    <n v="2"/>
    <n v="2294"/>
    <n v="0.17"/>
    <x v="36"/>
    <n v="2665.63"/>
    <n v="1142.4100000000001"/>
    <n v="0.3"/>
    <x v="3"/>
    <s v="Standard"/>
    <n v="7"/>
    <x v="0"/>
  </r>
  <r>
    <s v="ORD20250038"/>
    <x v="33"/>
    <s v="Jan"/>
    <x v="0"/>
    <n v="2025"/>
    <x v="3"/>
    <x v="12"/>
    <x v="19"/>
    <s v="Retail Store"/>
    <s v="Consumer"/>
    <x v="1"/>
    <x v="0"/>
    <s v="Women"/>
    <x v="0"/>
    <n v="6"/>
    <n v="3475"/>
    <n v="0.02"/>
    <x v="37"/>
    <n v="11646.81"/>
    <n v="8786.19"/>
    <n v="0.43"/>
    <x v="4"/>
    <s v="Same Day"/>
    <n v="0"/>
    <x v="3"/>
  </r>
  <r>
    <s v="ORD20250039"/>
    <x v="20"/>
    <s v="Feb"/>
    <x v="0"/>
    <n v="2025"/>
    <x v="2"/>
    <x v="10"/>
    <x v="15"/>
    <s v="Online"/>
    <s v="Consumer"/>
    <x v="4"/>
    <x v="1"/>
    <s v="Accessories"/>
    <x v="8"/>
    <n v="5"/>
    <n v="3445"/>
    <n v="0.14000000000000001"/>
    <x v="38"/>
    <n v="10369.450000000001"/>
    <n v="4444.05"/>
    <n v="0.3"/>
    <x v="2"/>
    <s v="Same Day"/>
    <n v="0"/>
    <x v="0"/>
  </r>
  <r>
    <s v="ORD20250040"/>
    <x v="34"/>
    <s v="Apr"/>
    <x v="3"/>
    <n v="2025"/>
    <x v="2"/>
    <x v="8"/>
    <x v="10"/>
    <s v="Distributor"/>
    <s v="Consumer"/>
    <x v="9"/>
    <x v="0"/>
    <s v="Men"/>
    <x v="4"/>
    <n v="12"/>
    <n v="1512"/>
    <n v="0.18"/>
    <x v="39"/>
    <n v="8629.2900000000009"/>
    <n v="6248.79"/>
    <n v="0.42"/>
    <x v="2"/>
    <s v="Same Day"/>
    <n v="0"/>
    <x v="0"/>
  </r>
  <r>
    <s v="ORD20250041"/>
    <x v="35"/>
    <s v="Aug"/>
    <x v="2"/>
    <n v="2025"/>
    <x v="2"/>
    <x v="8"/>
    <x v="10"/>
    <s v="Online"/>
    <s v="Consumer"/>
    <x v="0"/>
    <x v="1"/>
    <s v="Accessories"/>
    <x v="8"/>
    <n v="1"/>
    <n v="2176"/>
    <n v="7.0000000000000007E-2"/>
    <x v="40"/>
    <n v="1416.58"/>
    <n v="607.1"/>
    <n v="0.3"/>
    <x v="4"/>
    <s v="Express"/>
    <n v="1"/>
    <x v="0"/>
  </r>
  <r>
    <s v="ORD20250042"/>
    <x v="36"/>
    <s v="Apr"/>
    <x v="3"/>
    <n v="2025"/>
    <x v="1"/>
    <x v="6"/>
    <x v="6"/>
    <s v="Online"/>
    <s v="Home Office"/>
    <x v="4"/>
    <x v="3"/>
    <s v="Snacks"/>
    <x v="5"/>
    <n v="15"/>
    <n v="93"/>
    <n v="7.0000000000000007E-2"/>
    <x v="41"/>
    <n v="830.3"/>
    <n v="467.05"/>
    <n v="0.36"/>
    <x v="1"/>
    <s v="Standard"/>
    <n v="4"/>
    <x v="3"/>
  </r>
  <r>
    <s v="ORD20250043"/>
    <x v="37"/>
    <s v="Feb"/>
    <x v="0"/>
    <n v="2025"/>
    <x v="1"/>
    <x v="9"/>
    <x v="12"/>
    <s v="Online"/>
    <s v="Consumer"/>
    <x v="5"/>
    <x v="2"/>
    <s v="Table"/>
    <x v="3"/>
    <n v="1"/>
    <n v="7682"/>
    <n v="0.05"/>
    <x v="42"/>
    <n v="5181.51"/>
    <n v="2116.39"/>
    <n v="0.28999999999999998"/>
    <x v="3"/>
    <s v="Express"/>
    <n v="2"/>
    <x v="3"/>
  </r>
  <r>
    <s v="ORD20250044"/>
    <x v="38"/>
    <s v="Mar"/>
    <x v="0"/>
    <n v="2025"/>
    <x v="0"/>
    <x v="11"/>
    <x v="16"/>
    <s v="Distributor"/>
    <s v="Corporate"/>
    <x v="0"/>
    <x v="1"/>
    <s v="Accessories"/>
    <x v="15"/>
    <n v="3"/>
    <n v="1107"/>
    <n v="0.09"/>
    <x v="43"/>
    <n v="2055.0300000000002"/>
    <n v="967.08"/>
    <n v="0.32"/>
    <x v="4"/>
    <s v="Standard"/>
    <n v="3"/>
    <x v="0"/>
  </r>
  <r>
    <s v="ORD20250045"/>
    <x v="39"/>
    <s v="May"/>
    <x v="3"/>
    <n v="2025"/>
    <x v="3"/>
    <x v="5"/>
    <x v="5"/>
    <s v="Online"/>
    <s v="Home Office"/>
    <x v="3"/>
    <x v="2"/>
    <s v="Chair"/>
    <x v="7"/>
    <n v="1"/>
    <n v="6510"/>
    <n v="0.05"/>
    <x v="44"/>
    <n v="4452.84"/>
    <n v="1731.66"/>
    <n v="0.28000000000000003"/>
    <x v="1"/>
    <s v="Express"/>
    <n v="3"/>
    <x v="3"/>
  </r>
  <r>
    <s v="ORD20250046"/>
    <x v="40"/>
    <s v="Jul"/>
    <x v="2"/>
    <n v="2025"/>
    <x v="0"/>
    <x v="0"/>
    <x v="8"/>
    <s v="Retail Store"/>
    <s v="Home Office"/>
    <x v="7"/>
    <x v="0"/>
    <s v="Men"/>
    <x v="4"/>
    <n v="5"/>
    <n v="1490"/>
    <n v="0.1"/>
    <x v="45"/>
    <n v="3888.9"/>
    <n v="2816.1"/>
    <n v="0.42"/>
    <x v="1"/>
    <s v="Express"/>
    <n v="2"/>
    <x v="0"/>
  </r>
  <r>
    <s v="ORD20250047"/>
    <x v="41"/>
    <s v="Mar"/>
    <x v="0"/>
    <n v="2025"/>
    <x v="2"/>
    <x v="10"/>
    <x v="18"/>
    <s v="Distributor"/>
    <s v="Corporate"/>
    <x v="1"/>
    <x v="0"/>
    <s v="Men"/>
    <x v="13"/>
    <n v="6"/>
    <n v="1402"/>
    <n v="0.1"/>
    <x v="46"/>
    <n v="4542.4799999999996"/>
    <n v="3028.32"/>
    <n v="0.4"/>
    <x v="3"/>
    <s v="Standard"/>
    <n v="4"/>
    <x v="1"/>
  </r>
  <r>
    <s v="ORD20250048"/>
    <x v="42"/>
    <s v="May"/>
    <x v="3"/>
    <n v="2025"/>
    <x v="2"/>
    <x v="8"/>
    <x v="10"/>
    <s v="Online"/>
    <s v="Home Office"/>
    <x v="9"/>
    <x v="0"/>
    <s v="Women"/>
    <x v="14"/>
    <n v="12"/>
    <n v="5408"/>
    <n v="0.11"/>
    <x v="47"/>
    <n v="36387.19"/>
    <n v="21370.25"/>
    <n v="0.37"/>
    <x v="3"/>
    <s v="Same Day"/>
    <n v="0"/>
    <x v="0"/>
  </r>
  <r>
    <s v="ORD20250049"/>
    <x v="27"/>
    <s v="May"/>
    <x v="3"/>
    <n v="2025"/>
    <x v="2"/>
    <x v="10"/>
    <x v="15"/>
    <s v="Online"/>
    <s v="Corporate"/>
    <x v="8"/>
    <x v="3"/>
    <s v="Snacks"/>
    <x v="16"/>
    <n v="13"/>
    <n v="107"/>
    <n v="0.15"/>
    <x v="48"/>
    <n v="733.06"/>
    <n v="449.29"/>
    <n v="0.38"/>
    <x v="3"/>
    <s v="Standard"/>
    <n v="6"/>
    <x v="0"/>
  </r>
  <r>
    <s v="ORD20250050"/>
    <x v="43"/>
    <s v="Jul"/>
    <x v="2"/>
    <n v="2025"/>
    <x v="1"/>
    <x v="1"/>
    <x v="1"/>
    <s v="Retail Store"/>
    <s v="Home Office"/>
    <x v="8"/>
    <x v="0"/>
    <s v="Women"/>
    <x v="0"/>
    <n v="11"/>
    <n v="3216"/>
    <n v="0"/>
    <x v="49"/>
    <n v="20164.32"/>
    <n v="15211.68"/>
    <n v="0.43"/>
    <x v="1"/>
    <s v="Same Day"/>
    <n v="0"/>
    <x v="0"/>
  </r>
  <r>
    <s v="ORD20250051"/>
    <x v="27"/>
    <s v="May"/>
    <x v="3"/>
    <n v="2025"/>
    <x v="0"/>
    <x v="0"/>
    <x v="0"/>
    <s v="Retail Store"/>
    <s v="Consumer"/>
    <x v="6"/>
    <x v="0"/>
    <s v="Men"/>
    <x v="4"/>
    <n v="7"/>
    <n v="1968"/>
    <n v="0.03"/>
    <x v="50"/>
    <n v="7750.38"/>
    <n v="5612.34"/>
    <n v="0.42"/>
    <x v="0"/>
    <s v="Express"/>
    <n v="3"/>
    <x v="1"/>
  </r>
  <r>
    <s v="ORD20250052"/>
    <x v="44"/>
    <s v="Aug"/>
    <x v="2"/>
    <n v="2025"/>
    <x v="1"/>
    <x v="1"/>
    <x v="20"/>
    <s v="Online"/>
    <s v="Corporate"/>
    <x v="8"/>
    <x v="0"/>
    <s v="Men"/>
    <x v="4"/>
    <n v="3"/>
    <n v="1388"/>
    <n v="0.05"/>
    <x v="51"/>
    <n v="2294.36"/>
    <n v="1661.44"/>
    <n v="0.42"/>
    <x v="0"/>
    <s v="Express"/>
    <n v="3"/>
    <x v="0"/>
  </r>
  <r>
    <s v="ORD20250053"/>
    <x v="45"/>
    <s v="Oct"/>
    <x v="1"/>
    <n v="2025"/>
    <x v="2"/>
    <x v="10"/>
    <x v="15"/>
    <s v="Retail Store"/>
    <s v="Consumer"/>
    <x v="9"/>
    <x v="1"/>
    <s v="Laptop"/>
    <x v="17"/>
    <n v="3"/>
    <n v="56019"/>
    <n v="0.05"/>
    <x v="52"/>
    <n v="134109.49"/>
    <n v="25544.66"/>
    <n v="0.16"/>
    <x v="4"/>
    <s v="Express"/>
    <n v="3"/>
    <x v="1"/>
  </r>
  <r>
    <s v="ORD20250054"/>
    <x v="46"/>
    <s v="May"/>
    <x v="3"/>
    <n v="2025"/>
    <x v="0"/>
    <x v="2"/>
    <x v="2"/>
    <s v="Online"/>
    <s v="Corporate"/>
    <x v="1"/>
    <x v="2"/>
    <s v="Table"/>
    <x v="3"/>
    <n v="2"/>
    <n v="8737"/>
    <n v="0.15"/>
    <x v="53"/>
    <n v="10545.56"/>
    <n v="4307.34"/>
    <n v="0.28999999999999998"/>
    <x v="1"/>
    <s v="Same Day"/>
    <n v="0"/>
    <x v="0"/>
  </r>
  <r>
    <s v="ORD20250055"/>
    <x v="47"/>
    <s v="Feb"/>
    <x v="0"/>
    <n v="2025"/>
    <x v="3"/>
    <x v="13"/>
    <x v="21"/>
    <s v="Online"/>
    <s v="Consumer"/>
    <x v="5"/>
    <x v="1"/>
    <s v="Mobile"/>
    <x v="1"/>
    <n v="1"/>
    <n v="67033"/>
    <n v="0.06"/>
    <x v="54"/>
    <n v="55449.7"/>
    <n v="7561.32"/>
    <n v="0.12"/>
    <x v="4"/>
    <s v="Same Day"/>
    <n v="0"/>
    <x v="0"/>
  </r>
  <r>
    <s v="ORD20250056"/>
    <x v="44"/>
    <s v="Aug"/>
    <x v="2"/>
    <n v="2025"/>
    <x v="2"/>
    <x v="8"/>
    <x v="10"/>
    <s v="Online"/>
    <s v="Home Office"/>
    <x v="6"/>
    <x v="3"/>
    <s v="Snacks"/>
    <x v="5"/>
    <n v="15"/>
    <n v="110"/>
    <n v="0.13"/>
    <x v="55"/>
    <n v="918.72"/>
    <n v="516.78"/>
    <n v="0.36"/>
    <x v="4"/>
    <s v="Express"/>
    <n v="3"/>
    <x v="0"/>
  </r>
  <r>
    <s v="ORD20250057"/>
    <x v="48"/>
    <s v="Aug"/>
    <x v="2"/>
    <n v="2025"/>
    <x v="0"/>
    <x v="0"/>
    <x v="8"/>
    <s v="Distributor"/>
    <s v="Consumer"/>
    <x v="6"/>
    <x v="2"/>
    <s v="Chair"/>
    <x v="7"/>
    <n v="2"/>
    <n v="4989"/>
    <n v="0.14000000000000001"/>
    <x v="56"/>
    <n v="6178.38"/>
    <n v="2402.6999999999998"/>
    <n v="0.28000000000000003"/>
    <x v="2"/>
    <s v="Same Day"/>
    <n v="0"/>
    <x v="1"/>
  </r>
  <r>
    <s v="ORD20250058"/>
    <x v="22"/>
    <s v="Nov"/>
    <x v="1"/>
    <n v="2025"/>
    <x v="0"/>
    <x v="0"/>
    <x v="0"/>
    <s v="Retail Store"/>
    <s v="Corporate"/>
    <x v="6"/>
    <x v="0"/>
    <s v="Women"/>
    <x v="14"/>
    <n v="5"/>
    <n v="7577"/>
    <n v="0.06"/>
    <x v="57"/>
    <n v="22435.5"/>
    <n v="13176.4"/>
    <n v="0.37"/>
    <x v="4"/>
    <s v="Express"/>
    <n v="1"/>
    <x v="2"/>
  </r>
  <r>
    <s v="ORD20250059"/>
    <x v="49"/>
    <s v="Dec"/>
    <x v="1"/>
    <n v="2025"/>
    <x v="1"/>
    <x v="3"/>
    <x v="3"/>
    <s v="Distributor"/>
    <s v="Home Office"/>
    <x v="4"/>
    <x v="0"/>
    <s v="Women"/>
    <x v="0"/>
    <n v="12"/>
    <n v="2595"/>
    <n v="0.09"/>
    <x v="58"/>
    <n v="16152.32"/>
    <n v="12185.08"/>
    <n v="0.43"/>
    <x v="3"/>
    <s v="Standard"/>
    <n v="5"/>
    <x v="3"/>
  </r>
  <r>
    <s v="ORD20250060"/>
    <x v="41"/>
    <s v="Mar"/>
    <x v="0"/>
    <n v="2025"/>
    <x v="0"/>
    <x v="2"/>
    <x v="13"/>
    <s v="Online"/>
    <s v="Consumer"/>
    <x v="2"/>
    <x v="1"/>
    <s v="Mobile"/>
    <x v="1"/>
    <n v="5"/>
    <n v="59260"/>
    <n v="0.11"/>
    <x v="59"/>
    <n v="232062.16"/>
    <n v="31644.84"/>
    <n v="0.12"/>
    <x v="3"/>
    <s v="Same Day"/>
    <n v="0"/>
    <x v="0"/>
  </r>
  <r>
    <s v="ORD20250061"/>
    <x v="50"/>
    <s v="Apr"/>
    <x v="3"/>
    <n v="2025"/>
    <x v="3"/>
    <x v="12"/>
    <x v="19"/>
    <s v="Online"/>
    <s v="Home Office"/>
    <x v="6"/>
    <x v="0"/>
    <s v="Men"/>
    <x v="13"/>
    <n v="7"/>
    <n v="1804"/>
    <n v="0.1"/>
    <x v="60"/>
    <n v="6819.12"/>
    <n v="4546.08"/>
    <n v="0.4"/>
    <x v="1"/>
    <s v="Standard"/>
    <n v="5"/>
    <x v="3"/>
  </r>
  <r>
    <s v="ORD20250062"/>
    <x v="51"/>
    <s v="Mar"/>
    <x v="0"/>
    <n v="2025"/>
    <x v="3"/>
    <x v="5"/>
    <x v="5"/>
    <s v="Retail Store"/>
    <s v="Consumer"/>
    <x v="1"/>
    <x v="2"/>
    <s v="Chair"/>
    <x v="10"/>
    <n v="2"/>
    <n v="12186"/>
    <n v="0.02"/>
    <x v="61"/>
    <n v="17674.57"/>
    <n v="6209.99"/>
    <n v="0.26"/>
    <x v="4"/>
    <s v="Express"/>
    <n v="3"/>
    <x v="2"/>
  </r>
  <r>
    <s v="ORD20250063"/>
    <x v="52"/>
    <s v="Feb"/>
    <x v="0"/>
    <n v="2025"/>
    <x v="3"/>
    <x v="13"/>
    <x v="21"/>
    <s v="Online"/>
    <s v="Corporate"/>
    <x v="7"/>
    <x v="1"/>
    <s v="Laptop"/>
    <x v="2"/>
    <n v="2"/>
    <n v="66583"/>
    <n v="0.13"/>
    <x v="62"/>
    <n v="98476.26"/>
    <n v="17378.16"/>
    <n v="0.15"/>
    <x v="2"/>
    <s v="Standard"/>
    <n v="4"/>
    <x v="0"/>
  </r>
  <r>
    <s v="ORD20250064"/>
    <x v="53"/>
    <s v="Oct"/>
    <x v="1"/>
    <n v="2025"/>
    <x v="2"/>
    <x v="4"/>
    <x v="9"/>
    <s v="Online"/>
    <s v="Corporate"/>
    <x v="8"/>
    <x v="1"/>
    <s v="Mobile"/>
    <x v="12"/>
    <n v="5"/>
    <n v="22312"/>
    <n v="7.0000000000000007E-2"/>
    <x v="63"/>
    <n v="85075.66"/>
    <n v="18675.14"/>
    <n v="0.18"/>
    <x v="2"/>
    <s v="Same Day"/>
    <n v="0"/>
    <x v="3"/>
  </r>
  <r>
    <s v="ORD20250065"/>
    <x v="54"/>
    <s v="Dec"/>
    <x v="1"/>
    <n v="2025"/>
    <x v="0"/>
    <x v="11"/>
    <x v="16"/>
    <s v="Distributor"/>
    <s v="Home Office"/>
    <x v="3"/>
    <x v="1"/>
    <s v="Laptop"/>
    <x v="17"/>
    <n v="2"/>
    <n v="61465"/>
    <n v="0.16"/>
    <x v="64"/>
    <n v="86739.41"/>
    <n v="16521.79"/>
    <n v="0.16"/>
    <x v="2"/>
    <s v="Same Day"/>
    <n v="0"/>
    <x v="0"/>
  </r>
  <r>
    <s v="ORD20250066"/>
    <x v="35"/>
    <s v="Aug"/>
    <x v="2"/>
    <n v="2025"/>
    <x v="1"/>
    <x v="1"/>
    <x v="20"/>
    <s v="Distributor"/>
    <s v="Corporate"/>
    <x v="9"/>
    <x v="0"/>
    <s v="Men"/>
    <x v="13"/>
    <n v="9"/>
    <n v="1584"/>
    <n v="0.1"/>
    <x v="65"/>
    <n v="7698.24"/>
    <n v="5132.16"/>
    <n v="0.4"/>
    <x v="1"/>
    <s v="Standard"/>
    <n v="7"/>
    <x v="2"/>
  </r>
  <r>
    <s v="ORD20250067"/>
    <x v="55"/>
    <s v="Oct"/>
    <x v="1"/>
    <n v="2025"/>
    <x v="0"/>
    <x v="0"/>
    <x v="8"/>
    <s v="Retail Store"/>
    <s v="Corporate"/>
    <x v="5"/>
    <x v="3"/>
    <s v="Beverages"/>
    <x v="6"/>
    <n v="5"/>
    <n v="387"/>
    <n v="0.09"/>
    <x v="66"/>
    <n v="1162.1600000000001"/>
    <n v="598.69000000000005"/>
    <n v="0.34"/>
    <x v="3"/>
    <s v="Same Day"/>
    <n v="0"/>
    <x v="0"/>
  </r>
  <r>
    <s v="ORD20250068"/>
    <x v="56"/>
    <s v="Feb"/>
    <x v="0"/>
    <n v="2025"/>
    <x v="2"/>
    <x v="4"/>
    <x v="9"/>
    <s v="Online"/>
    <s v="Home Office"/>
    <x v="6"/>
    <x v="0"/>
    <s v="Men"/>
    <x v="13"/>
    <n v="2"/>
    <n v="2234"/>
    <n v="0.1"/>
    <x v="67"/>
    <n v="2412.7199999999998"/>
    <n v="1608.48"/>
    <n v="0.4"/>
    <x v="3"/>
    <s v="Same Day"/>
    <n v="0"/>
    <x v="0"/>
  </r>
  <r>
    <s v="ORD20250069"/>
    <x v="15"/>
    <s v="Sep"/>
    <x v="2"/>
    <n v="2025"/>
    <x v="3"/>
    <x v="13"/>
    <x v="22"/>
    <s v="Retail Store"/>
    <s v="Consumer"/>
    <x v="0"/>
    <x v="2"/>
    <s v="Table"/>
    <x v="3"/>
    <n v="2"/>
    <n v="5337"/>
    <n v="0.09"/>
    <x v="68"/>
    <n v="6896.47"/>
    <n v="2816.87"/>
    <n v="0.28999999999999998"/>
    <x v="3"/>
    <s v="Express"/>
    <n v="3"/>
    <x v="1"/>
  </r>
  <r>
    <s v="ORD20250070"/>
    <x v="16"/>
    <s v="Jun"/>
    <x v="3"/>
    <n v="2025"/>
    <x v="2"/>
    <x v="8"/>
    <x v="10"/>
    <s v="Distributor"/>
    <s v="Corporate"/>
    <x v="0"/>
    <x v="1"/>
    <s v="Mobile"/>
    <x v="1"/>
    <n v="4"/>
    <n v="69386"/>
    <n v="0.11"/>
    <x v="69"/>
    <n v="217372.46"/>
    <n v="29641.7"/>
    <n v="0.12"/>
    <x v="1"/>
    <s v="Express"/>
    <n v="1"/>
    <x v="0"/>
  </r>
  <r>
    <s v="ORD20250071"/>
    <x v="39"/>
    <s v="May"/>
    <x v="3"/>
    <n v="2025"/>
    <x v="3"/>
    <x v="5"/>
    <x v="5"/>
    <s v="Retail Store"/>
    <s v="Home Office"/>
    <x v="5"/>
    <x v="1"/>
    <s v="Laptop"/>
    <x v="17"/>
    <n v="4"/>
    <n v="56988"/>
    <n v="0.04"/>
    <x v="70"/>
    <n v="183820.49"/>
    <n v="35013.43"/>
    <n v="0.16"/>
    <x v="4"/>
    <s v="Standard"/>
    <n v="5"/>
    <x v="0"/>
  </r>
  <r>
    <s v="ORD20250072"/>
    <x v="57"/>
    <s v="Apr"/>
    <x v="3"/>
    <n v="2025"/>
    <x v="3"/>
    <x v="7"/>
    <x v="7"/>
    <s v="Online"/>
    <s v="Consumer"/>
    <x v="4"/>
    <x v="3"/>
    <s v="Beverages"/>
    <x v="6"/>
    <n v="25"/>
    <n v="309"/>
    <n v="0.13"/>
    <x v="71"/>
    <n v="4435.7"/>
    <n v="2285.0500000000002"/>
    <n v="0.34"/>
    <x v="3"/>
    <s v="Express"/>
    <n v="1"/>
    <x v="1"/>
  </r>
  <r>
    <s v="ORD20250073"/>
    <x v="47"/>
    <s v="Feb"/>
    <x v="0"/>
    <n v="2025"/>
    <x v="0"/>
    <x v="2"/>
    <x v="13"/>
    <s v="Retail Store"/>
    <s v="Home Office"/>
    <x v="0"/>
    <x v="1"/>
    <s v="Accessories"/>
    <x v="15"/>
    <n v="3"/>
    <n v="1013"/>
    <n v="0"/>
    <x v="72"/>
    <n v="2066.52"/>
    <n v="972.48"/>
    <n v="0.32"/>
    <x v="2"/>
    <s v="Standard"/>
    <n v="5"/>
    <x v="0"/>
  </r>
  <r>
    <s v="ORD20250074"/>
    <x v="58"/>
    <s v="Nov"/>
    <x v="1"/>
    <n v="2025"/>
    <x v="1"/>
    <x v="3"/>
    <x v="3"/>
    <s v="Distributor"/>
    <s v="Home Office"/>
    <x v="9"/>
    <x v="3"/>
    <s v="Snacks"/>
    <x v="16"/>
    <n v="23"/>
    <n v="47"/>
    <n v="0.14000000000000001"/>
    <x v="73"/>
    <n v="576.39"/>
    <n v="353.27"/>
    <n v="0.38"/>
    <x v="2"/>
    <s v="Express"/>
    <n v="1"/>
    <x v="1"/>
  </r>
  <r>
    <s v="ORD20250075"/>
    <x v="30"/>
    <s v="Jan"/>
    <x v="0"/>
    <n v="2025"/>
    <x v="0"/>
    <x v="0"/>
    <x v="0"/>
    <s v="Distributor"/>
    <s v="Corporate"/>
    <x v="3"/>
    <x v="1"/>
    <s v="Accessories"/>
    <x v="15"/>
    <n v="5"/>
    <n v="836"/>
    <n v="0.1"/>
    <x v="74"/>
    <n v="2558.16"/>
    <n v="1203.8399999999999"/>
    <n v="0.32"/>
    <x v="2"/>
    <s v="Standard"/>
    <n v="5"/>
    <x v="0"/>
  </r>
  <r>
    <s v="ORD20250076"/>
    <x v="59"/>
    <s v="Nov"/>
    <x v="1"/>
    <n v="2025"/>
    <x v="2"/>
    <x v="8"/>
    <x v="10"/>
    <s v="Distributor"/>
    <s v="Consumer"/>
    <x v="1"/>
    <x v="0"/>
    <s v="Women"/>
    <x v="14"/>
    <n v="6"/>
    <n v="4113"/>
    <n v="0.11"/>
    <x v="75"/>
    <n v="13836.95"/>
    <n v="8126.47"/>
    <n v="0.37"/>
    <x v="4"/>
    <s v="Same Day"/>
    <n v="0"/>
    <x v="2"/>
  </r>
  <r>
    <s v="ORD20250077"/>
    <x v="60"/>
    <s v="Aug"/>
    <x v="2"/>
    <n v="2025"/>
    <x v="2"/>
    <x v="8"/>
    <x v="10"/>
    <s v="Retail Store"/>
    <s v="Home Office"/>
    <x v="9"/>
    <x v="0"/>
    <s v="Men"/>
    <x v="4"/>
    <n v="5"/>
    <n v="1333"/>
    <n v="0.05"/>
    <x v="76"/>
    <n v="3672.42"/>
    <n v="2659.33"/>
    <n v="0.42"/>
    <x v="0"/>
    <s v="Express"/>
    <n v="3"/>
    <x v="2"/>
  </r>
  <r>
    <s v="ORD20250078"/>
    <x v="61"/>
    <s v="Jun"/>
    <x v="3"/>
    <n v="2025"/>
    <x v="0"/>
    <x v="0"/>
    <x v="8"/>
    <s v="Distributor"/>
    <s v="Consumer"/>
    <x v="1"/>
    <x v="3"/>
    <s v="Beverages"/>
    <x v="6"/>
    <n v="19"/>
    <n v="396"/>
    <n v="0.15"/>
    <x v="77"/>
    <n v="4220.96"/>
    <n v="2174.44"/>
    <n v="0.34"/>
    <x v="4"/>
    <s v="Express"/>
    <n v="3"/>
    <x v="0"/>
  </r>
  <r>
    <s v="ORD20250079"/>
    <x v="62"/>
    <s v="Jan"/>
    <x v="0"/>
    <n v="2025"/>
    <x v="3"/>
    <x v="5"/>
    <x v="5"/>
    <s v="Retail Store"/>
    <s v="Corporate"/>
    <x v="9"/>
    <x v="1"/>
    <s v="Accessories"/>
    <x v="15"/>
    <n v="2"/>
    <n v="934"/>
    <n v="0.03"/>
    <x v="78"/>
    <n v="1232.1300000000001"/>
    <n v="579.83000000000004"/>
    <n v="0.32"/>
    <x v="2"/>
    <s v="Same Day"/>
    <n v="0"/>
    <x v="0"/>
  </r>
  <r>
    <s v="ORD20250080"/>
    <x v="63"/>
    <s v="Nov"/>
    <x v="1"/>
    <n v="2025"/>
    <x v="2"/>
    <x v="10"/>
    <x v="15"/>
    <s v="Retail Store"/>
    <s v="Home Office"/>
    <x v="1"/>
    <x v="3"/>
    <s v="Beverages"/>
    <x v="9"/>
    <n v="24"/>
    <n v="404"/>
    <n v="0.06"/>
    <x v="79"/>
    <n v="6106.54"/>
    <n v="3007.7"/>
    <n v="0.33"/>
    <x v="3"/>
    <s v="Same Day"/>
    <n v="0"/>
    <x v="0"/>
  </r>
  <r>
    <s v="ORD20250081"/>
    <x v="64"/>
    <s v="Oct"/>
    <x v="1"/>
    <n v="2025"/>
    <x v="2"/>
    <x v="10"/>
    <x v="15"/>
    <s v="Online"/>
    <s v="Corporate"/>
    <x v="3"/>
    <x v="1"/>
    <s v="Mobile"/>
    <x v="12"/>
    <n v="6"/>
    <n v="25344"/>
    <n v="0.09"/>
    <x v="80"/>
    <n v="113470.16"/>
    <n v="24908.080000000002"/>
    <n v="0.18"/>
    <x v="0"/>
    <s v="Express"/>
    <n v="3"/>
    <x v="2"/>
  </r>
  <r>
    <s v="ORD20250082"/>
    <x v="3"/>
    <s v="Jul"/>
    <x v="2"/>
    <n v="2025"/>
    <x v="0"/>
    <x v="11"/>
    <x v="16"/>
    <s v="Retail Store"/>
    <s v="Corporate"/>
    <x v="1"/>
    <x v="3"/>
    <s v="Beverages"/>
    <x v="9"/>
    <n v="19"/>
    <n v="469"/>
    <n v="7.0000000000000007E-2"/>
    <x v="81"/>
    <n v="5552.44"/>
    <n v="2734.79"/>
    <n v="0.33"/>
    <x v="3"/>
    <s v="Express"/>
    <n v="1"/>
    <x v="2"/>
  </r>
  <r>
    <s v="ORD20250083"/>
    <x v="65"/>
    <s v="Oct"/>
    <x v="1"/>
    <n v="2025"/>
    <x v="1"/>
    <x v="3"/>
    <x v="3"/>
    <s v="Retail Store"/>
    <s v="Consumer"/>
    <x v="1"/>
    <x v="3"/>
    <s v="Beverages"/>
    <x v="9"/>
    <n v="6"/>
    <n v="553"/>
    <n v="0.06"/>
    <x v="82"/>
    <n v="2089.6799999999998"/>
    <n v="1029.24"/>
    <n v="0.33"/>
    <x v="4"/>
    <s v="Standard"/>
    <n v="4"/>
    <x v="0"/>
  </r>
  <r>
    <s v="ORD20250084"/>
    <x v="24"/>
    <s v="Apr"/>
    <x v="3"/>
    <n v="2025"/>
    <x v="1"/>
    <x v="1"/>
    <x v="1"/>
    <s v="Distributor"/>
    <s v="Corporate"/>
    <x v="6"/>
    <x v="2"/>
    <s v="Chair"/>
    <x v="7"/>
    <n v="2"/>
    <n v="8957"/>
    <n v="0.08"/>
    <x v="83"/>
    <n v="11866.23"/>
    <n v="4614.6499999999996"/>
    <n v="0.28000000000000003"/>
    <x v="0"/>
    <s v="Same Day"/>
    <n v="0"/>
    <x v="0"/>
  </r>
  <r>
    <s v="ORD20250085"/>
    <x v="66"/>
    <s v="Jul"/>
    <x v="2"/>
    <n v="2025"/>
    <x v="0"/>
    <x v="2"/>
    <x v="2"/>
    <s v="Distributor"/>
    <s v="Consumer"/>
    <x v="9"/>
    <x v="2"/>
    <s v="Chair"/>
    <x v="10"/>
    <n v="1"/>
    <n v="12891"/>
    <n v="0.15"/>
    <x v="84"/>
    <n v="8108.44"/>
    <n v="2848.91"/>
    <n v="0.26"/>
    <x v="1"/>
    <s v="Express"/>
    <n v="3"/>
    <x v="3"/>
  </r>
  <r>
    <s v="ORD20250086"/>
    <x v="67"/>
    <s v="Mar"/>
    <x v="0"/>
    <n v="2025"/>
    <x v="2"/>
    <x v="4"/>
    <x v="14"/>
    <s v="Distributor"/>
    <s v="Consumer"/>
    <x v="6"/>
    <x v="1"/>
    <s v="Laptop"/>
    <x v="2"/>
    <n v="3"/>
    <n v="67342"/>
    <n v="0.15"/>
    <x v="85"/>
    <n v="145963.79"/>
    <n v="25758.31"/>
    <n v="0.15"/>
    <x v="2"/>
    <s v="Same Day"/>
    <n v="0"/>
    <x v="0"/>
  </r>
  <r>
    <s v="ORD20250087"/>
    <x v="68"/>
    <s v="Mar"/>
    <x v="0"/>
    <n v="2025"/>
    <x v="2"/>
    <x v="10"/>
    <x v="15"/>
    <s v="Distributor"/>
    <s v="Home Office"/>
    <x v="1"/>
    <x v="1"/>
    <s v="Laptop"/>
    <x v="17"/>
    <n v="6"/>
    <n v="61497"/>
    <n v="0.12"/>
    <x v="86"/>
    <n v="272751.49"/>
    <n v="51952.67"/>
    <n v="0.16"/>
    <x v="1"/>
    <s v="Express"/>
    <n v="2"/>
    <x v="1"/>
  </r>
  <r>
    <s v="ORD20250088"/>
    <x v="64"/>
    <s v="Oct"/>
    <x v="1"/>
    <n v="2025"/>
    <x v="2"/>
    <x v="10"/>
    <x v="18"/>
    <s v="Distributor"/>
    <s v="Home Office"/>
    <x v="3"/>
    <x v="1"/>
    <s v="Laptop"/>
    <x v="17"/>
    <n v="6"/>
    <n v="52766"/>
    <n v="0.16"/>
    <x v="87"/>
    <n v="223390.14"/>
    <n v="42550.5"/>
    <n v="0.16"/>
    <x v="3"/>
    <s v="Standard"/>
    <n v="7"/>
    <x v="2"/>
  </r>
  <r>
    <s v="ORD20250089"/>
    <x v="69"/>
    <s v="Jul"/>
    <x v="2"/>
    <n v="2025"/>
    <x v="0"/>
    <x v="2"/>
    <x v="2"/>
    <s v="Online"/>
    <s v="Home Office"/>
    <x v="4"/>
    <x v="0"/>
    <s v="Men"/>
    <x v="13"/>
    <n v="7"/>
    <n v="2608"/>
    <n v="0.13"/>
    <x v="88"/>
    <n v="9529.6299999999992"/>
    <n v="6353.09"/>
    <n v="0.4"/>
    <x v="2"/>
    <s v="Standard"/>
    <n v="3"/>
    <x v="0"/>
  </r>
  <r>
    <s v="ORD20250090"/>
    <x v="70"/>
    <s v="Mar"/>
    <x v="0"/>
    <n v="2025"/>
    <x v="0"/>
    <x v="11"/>
    <x v="16"/>
    <s v="Distributor"/>
    <s v="Home Office"/>
    <x v="5"/>
    <x v="1"/>
    <s v="Mobile"/>
    <x v="1"/>
    <n v="3"/>
    <n v="68536"/>
    <n v="0.14000000000000001"/>
    <x v="89"/>
    <n v="155604.13"/>
    <n v="21218.75"/>
    <n v="0.12"/>
    <x v="2"/>
    <s v="Same Day"/>
    <n v="0"/>
    <x v="1"/>
  </r>
  <r>
    <s v="ORD20250091"/>
    <x v="71"/>
    <s v="Aug"/>
    <x v="2"/>
    <n v="2025"/>
    <x v="2"/>
    <x v="4"/>
    <x v="14"/>
    <s v="Distributor"/>
    <s v="Home Office"/>
    <x v="2"/>
    <x v="1"/>
    <s v="Accessories"/>
    <x v="8"/>
    <n v="6"/>
    <n v="2264"/>
    <n v="0.18"/>
    <x v="90"/>
    <n v="7797.22"/>
    <n v="3341.66"/>
    <n v="0.3"/>
    <x v="4"/>
    <s v="Express"/>
    <n v="1"/>
    <x v="0"/>
  </r>
  <r>
    <s v="ORD20250092"/>
    <x v="72"/>
    <s v="Sep"/>
    <x v="2"/>
    <n v="2025"/>
    <x v="1"/>
    <x v="1"/>
    <x v="1"/>
    <s v="Retail Store"/>
    <s v="Corporate"/>
    <x v="3"/>
    <x v="1"/>
    <s v="Mobile"/>
    <x v="12"/>
    <n v="4"/>
    <n v="26184"/>
    <n v="0.06"/>
    <x v="91"/>
    <n v="80730.509999999995"/>
    <n v="17721.330000000002"/>
    <n v="0.18"/>
    <x v="2"/>
    <s v="Same Day"/>
    <n v="0"/>
    <x v="0"/>
  </r>
  <r>
    <s v="ORD20250093"/>
    <x v="49"/>
    <s v="Dec"/>
    <x v="1"/>
    <n v="2025"/>
    <x v="3"/>
    <x v="7"/>
    <x v="7"/>
    <s v="Retail Store"/>
    <s v="Consumer"/>
    <x v="6"/>
    <x v="3"/>
    <s v="Beverages"/>
    <x v="6"/>
    <n v="11"/>
    <n v="337"/>
    <n v="0.08"/>
    <x v="92"/>
    <n v="2250.89"/>
    <n v="1159.55"/>
    <n v="0.34"/>
    <x v="2"/>
    <s v="Express"/>
    <n v="1"/>
    <x v="3"/>
  </r>
  <r>
    <s v="ORD20250094"/>
    <x v="28"/>
    <s v="Jul"/>
    <x v="2"/>
    <n v="2025"/>
    <x v="1"/>
    <x v="6"/>
    <x v="11"/>
    <s v="Distributor"/>
    <s v="Corporate"/>
    <x v="2"/>
    <x v="2"/>
    <s v="Table"/>
    <x v="3"/>
    <n v="3"/>
    <n v="10861"/>
    <n v="0.08"/>
    <x v="93"/>
    <n v="21283.22"/>
    <n v="8693.14"/>
    <n v="0.28999999999999998"/>
    <x v="0"/>
    <s v="Standard"/>
    <n v="5"/>
    <x v="3"/>
  </r>
  <r>
    <s v="ORD20250095"/>
    <x v="73"/>
    <s v="Sep"/>
    <x v="2"/>
    <n v="2025"/>
    <x v="2"/>
    <x v="10"/>
    <x v="18"/>
    <s v="Online"/>
    <s v="Consumer"/>
    <x v="6"/>
    <x v="2"/>
    <s v="Table"/>
    <x v="3"/>
    <n v="1"/>
    <n v="7318"/>
    <n v="7.0000000000000007E-2"/>
    <x v="94"/>
    <n v="4832.08"/>
    <n v="1973.66"/>
    <n v="0.28999999999999998"/>
    <x v="4"/>
    <s v="Same Day"/>
    <n v="0"/>
    <x v="2"/>
  </r>
  <r>
    <s v="ORD20250096"/>
    <x v="71"/>
    <s v="Aug"/>
    <x v="2"/>
    <n v="2025"/>
    <x v="1"/>
    <x v="9"/>
    <x v="12"/>
    <s v="Retail Store"/>
    <s v="Corporate"/>
    <x v="4"/>
    <x v="0"/>
    <s v="Women"/>
    <x v="0"/>
    <n v="8"/>
    <n v="1888"/>
    <n v="0.05"/>
    <x v="95"/>
    <n v="8178.82"/>
    <n v="6169.98"/>
    <n v="0.43"/>
    <x v="4"/>
    <s v="Express"/>
    <n v="1"/>
    <x v="0"/>
  </r>
  <r>
    <s v="ORD20250097"/>
    <x v="74"/>
    <s v="Apr"/>
    <x v="3"/>
    <n v="2025"/>
    <x v="1"/>
    <x v="9"/>
    <x v="23"/>
    <s v="Online"/>
    <s v="Consumer"/>
    <x v="1"/>
    <x v="1"/>
    <s v="Laptop"/>
    <x v="2"/>
    <n v="2"/>
    <n v="53044"/>
    <n v="0.1"/>
    <x v="96"/>
    <n v="81157.320000000007"/>
    <n v="14321.88"/>
    <n v="0.15"/>
    <x v="1"/>
    <s v="Express"/>
    <n v="1"/>
    <x v="0"/>
  </r>
  <r>
    <s v="ORD20250098"/>
    <x v="75"/>
    <s v="Mar"/>
    <x v="0"/>
    <n v="2025"/>
    <x v="2"/>
    <x v="8"/>
    <x v="10"/>
    <s v="Online"/>
    <s v="Corporate"/>
    <x v="0"/>
    <x v="1"/>
    <s v="Mobile"/>
    <x v="12"/>
    <n v="1"/>
    <n v="25563"/>
    <n v="0.08"/>
    <x v="97"/>
    <n v="19284.73"/>
    <n v="4233.2299999999996"/>
    <n v="0.18"/>
    <x v="3"/>
    <s v="Express"/>
    <n v="1"/>
    <x v="3"/>
  </r>
  <r>
    <s v="ORD20250099"/>
    <x v="14"/>
    <s v="Feb"/>
    <x v="0"/>
    <n v="2025"/>
    <x v="3"/>
    <x v="5"/>
    <x v="5"/>
    <s v="Retail Store"/>
    <s v="Corporate"/>
    <x v="0"/>
    <x v="1"/>
    <s v="Laptop"/>
    <x v="2"/>
    <n v="3"/>
    <n v="60823"/>
    <n v="0"/>
    <x v="98"/>
    <n v="155098.65"/>
    <n v="27370.35"/>
    <n v="0.15"/>
    <x v="1"/>
    <s v="Express"/>
    <n v="2"/>
    <x v="1"/>
  </r>
  <r>
    <s v="ORD20250100"/>
    <x v="76"/>
    <s v="Oct"/>
    <x v="1"/>
    <n v="2025"/>
    <x v="1"/>
    <x v="6"/>
    <x v="11"/>
    <s v="Distributor"/>
    <s v="Corporate"/>
    <x v="4"/>
    <x v="1"/>
    <s v="Accessories"/>
    <x v="8"/>
    <n v="3"/>
    <n v="3003"/>
    <n v="0.11"/>
    <x v="99"/>
    <n v="5612.61"/>
    <n v="2405.4"/>
    <n v="0.3"/>
    <x v="1"/>
    <s v="Express"/>
    <n v="3"/>
    <x v="0"/>
  </r>
  <r>
    <s v="ORD20250101"/>
    <x v="77"/>
    <s v="May"/>
    <x v="3"/>
    <n v="2025"/>
    <x v="3"/>
    <x v="5"/>
    <x v="5"/>
    <s v="Online"/>
    <s v="Corporate"/>
    <x v="1"/>
    <x v="2"/>
    <s v="Chair"/>
    <x v="10"/>
    <n v="2"/>
    <n v="13170"/>
    <n v="0.09"/>
    <x v="100"/>
    <n v="17737.36"/>
    <n v="6232.04"/>
    <n v="0.26"/>
    <x v="2"/>
    <s v="Express"/>
    <n v="2"/>
    <x v="3"/>
  </r>
  <r>
    <s v="ORD20250102"/>
    <x v="78"/>
    <s v="Jan"/>
    <x v="0"/>
    <n v="2025"/>
    <x v="0"/>
    <x v="0"/>
    <x v="8"/>
    <s v="Distributor"/>
    <s v="Corporate"/>
    <x v="7"/>
    <x v="1"/>
    <s v="Laptop"/>
    <x v="17"/>
    <n v="6"/>
    <n v="55984"/>
    <n v="0.14000000000000001"/>
    <x v="101"/>
    <n v="242657.05"/>
    <n v="46220.39"/>
    <n v="0.16"/>
    <x v="3"/>
    <s v="Standard"/>
    <n v="4"/>
    <x v="0"/>
  </r>
  <r>
    <s v="ORD20250103"/>
    <x v="79"/>
    <s v="Feb"/>
    <x v="0"/>
    <n v="2025"/>
    <x v="1"/>
    <x v="9"/>
    <x v="24"/>
    <s v="Online"/>
    <s v="Consumer"/>
    <x v="7"/>
    <x v="2"/>
    <s v="Chair"/>
    <x v="7"/>
    <n v="3"/>
    <n v="7848"/>
    <n v="0.15"/>
    <x v="102"/>
    <n v="14408.93"/>
    <n v="5603.47"/>
    <n v="0.28000000000000003"/>
    <x v="0"/>
    <s v="Express"/>
    <n v="3"/>
    <x v="0"/>
  </r>
  <r>
    <s v="ORD20250104"/>
    <x v="80"/>
    <s v="Sep"/>
    <x v="2"/>
    <n v="2025"/>
    <x v="2"/>
    <x v="4"/>
    <x v="14"/>
    <s v="Distributor"/>
    <s v="Home Office"/>
    <x v="4"/>
    <x v="1"/>
    <s v="Mobile"/>
    <x v="12"/>
    <n v="3"/>
    <n v="29425"/>
    <n v="0.08"/>
    <x v="103"/>
    <n v="66594.66"/>
    <n v="14618.34"/>
    <n v="0.18"/>
    <x v="0"/>
    <s v="Same Day"/>
    <n v="0"/>
    <x v="0"/>
  </r>
  <r>
    <s v="ORD20250105"/>
    <x v="71"/>
    <s v="Aug"/>
    <x v="2"/>
    <n v="2025"/>
    <x v="2"/>
    <x v="8"/>
    <x v="10"/>
    <s v="Online"/>
    <s v="Home Office"/>
    <x v="7"/>
    <x v="1"/>
    <s v="Accessories"/>
    <x v="8"/>
    <n v="1"/>
    <n v="4003"/>
    <n v="0.15"/>
    <x v="104"/>
    <n v="2381.79"/>
    <n v="1020.76"/>
    <n v="0.3"/>
    <x v="4"/>
    <s v="Standard"/>
    <n v="4"/>
    <x v="1"/>
  </r>
  <r>
    <s v="ORD20250106"/>
    <x v="63"/>
    <s v="Nov"/>
    <x v="1"/>
    <n v="2025"/>
    <x v="0"/>
    <x v="0"/>
    <x v="0"/>
    <s v="Online"/>
    <s v="Consumer"/>
    <x v="0"/>
    <x v="1"/>
    <s v="Mobile"/>
    <x v="1"/>
    <n v="3"/>
    <n v="71049"/>
    <n v="0.13"/>
    <x v="105"/>
    <n v="163185.34"/>
    <n v="22252.55"/>
    <n v="0.12"/>
    <x v="0"/>
    <s v="Express"/>
    <n v="2"/>
    <x v="3"/>
  </r>
  <r>
    <s v="ORD20250107"/>
    <x v="81"/>
    <s v="May"/>
    <x v="3"/>
    <n v="2025"/>
    <x v="1"/>
    <x v="1"/>
    <x v="1"/>
    <s v="Retail Store"/>
    <s v="Home Office"/>
    <x v="8"/>
    <x v="3"/>
    <s v="Beverages"/>
    <x v="9"/>
    <n v="5"/>
    <n v="511"/>
    <n v="0.05"/>
    <x v="106"/>
    <n v="1626.26"/>
    <n v="800.99"/>
    <n v="0.33"/>
    <x v="0"/>
    <s v="Same Day"/>
    <n v="0"/>
    <x v="1"/>
  </r>
  <r>
    <s v="ORD20250108"/>
    <x v="82"/>
    <s v="Sep"/>
    <x v="2"/>
    <n v="2025"/>
    <x v="1"/>
    <x v="3"/>
    <x v="3"/>
    <s v="Retail Store"/>
    <s v="Consumer"/>
    <x v="0"/>
    <x v="1"/>
    <s v="Laptop"/>
    <x v="17"/>
    <n v="2"/>
    <n v="60537"/>
    <n v="0.02"/>
    <x v="107"/>
    <n v="99668.12"/>
    <n v="18984.400000000001"/>
    <n v="0.16"/>
    <x v="2"/>
    <s v="Standard"/>
    <n v="6"/>
    <x v="3"/>
  </r>
  <r>
    <s v="ORD20250109"/>
    <x v="14"/>
    <s v="Feb"/>
    <x v="0"/>
    <n v="2025"/>
    <x v="0"/>
    <x v="11"/>
    <x v="16"/>
    <s v="Online"/>
    <s v="Corporate"/>
    <x v="6"/>
    <x v="1"/>
    <s v="Laptop"/>
    <x v="17"/>
    <n v="2"/>
    <n v="53255"/>
    <n v="0.15"/>
    <x v="108"/>
    <n v="76048.14"/>
    <n v="14485.36"/>
    <n v="0.16"/>
    <x v="4"/>
    <s v="Standard"/>
    <n v="5"/>
    <x v="3"/>
  </r>
  <r>
    <s v="ORD20250110"/>
    <x v="83"/>
    <s v="Jul"/>
    <x v="2"/>
    <n v="2025"/>
    <x v="1"/>
    <x v="9"/>
    <x v="24"/>
    <s v="Online"/>
    <s v="Consumer"/>
    <x v="8"/>
    <x v="3"/>
    <s v="Beverages"/>
    <x v="9"/>
    <n v="12"/>
    <n v="540"/>
    <n v="0.05"/>
    <x v="109"/>
    <n v="4124.5200000000004"/>
    <n v="2031.48"/>
    <n v="0.33"/>
    <x v="3"/>
    <s v="Express"/>
    <n v="1"/>
    <x v="3"/>
  </r>
  <r>
    <s v="ORD20250111"/>
    <x v="1"/>
    <s v="Mar"/>
    <x v="0"/>
    <n v="2025"/>
    <x v="3"/>
    <x v="5"/>
    <x v="5"/>
    <s v="Retail Store"/>
    <s v="Home Office"/>
    <x v="7"/>
    <x v="1"/>
    <s v="Mobile"/>
    <x v="1"/>
    <n v="5"/>
    <n v="63629"/>
    <n v="0.06"/>
    <x v="110"/>
    <n v="263169.53999999998"/>
    <n v="35886.76"/>
    <n v="0.12"/>
    <x v="1"/>
    <s v="Standard"/>
    <n v="6"/>
    <x v="1"/>
  </r>
  <r>
    <s v="ORD20250112"/>
    <x v="84"/>
    <s v="Apr"/>
    <x v="3"/>
    <n v="2025"/>
    <x v="2"/>
    <x v="8"/>
    <x v="10"/>
    <s v="Distributor"/>
    <s v="Consumer"/>
    <x v="7"/>
    <x v="3"/>
    <s v="Snacks"/>
    <x v="16"/>
    <n v="13"/>
    <n v="57"/>
    <n v="0.14000000000000001"/>
    <x v="111"/>
    <n v="395.1"/>
    <n v="242.16"/>
    <n v="0.38"/>
    <x v="2"/>
    <s v="Standard"/>
    <n v="7"/>
    <x v="2"/>
  </r>
  <r>
    <s v="ORD20250113"/>
    <x v="85"/>
    <s v="Feb"/>
    <x v="0"/>
    <n v="2025"/>
    <x v="3"/>
    <x v="7"/>
    <x v="7"/>
    <s v="Retail Store"/>
    <s v="Consumer"/>
    <x v="1"/>
    <x v="0"/>
    <s v="Women"/>
    <x v="0"/>
    <n v="4"/>
    <n v="3080"/>
    <n v="0.09"/>
    <x v="112"/>
    <n v="6390.38"/>
    <n v="4820.82"/>
    <n v="0.43"/>
    <x v="3"/>
    <s v="Express"/>
    <n v="3"/>
    <x v="3"/>
  </r>
  <r>
    <s v="ORD20250114"/>
    <x v="86"/>
    <s v="Sep"/>
    <x v="2"/>
    <n v="2025"/>
    <x v="1"/>
    <x v="1"/>
    <x v="20"/>
    <s v="Online"/>
    <s v="Consumer"/>
    <x v="7"/>
    <x v="2"/>
    <s v="Chair"/>
    <x v="7"/>
    <n v="3"/>
    <n v="5588"/>
    <n v="0.08"/>
    <x v="113"/>
    <n v="11104.47"/>
    <n v="4318.41"/>
    <n v="0.28000000000000003"/>
    <x v="1"/>
    <s v="Standard"/>
    <n v="3"/>
    <x v="0"/>
  </r>
  <r>
    <s v="ORD20250115"/>
    <x v="87"/>
    <s v="Jul"/>
    <x v="2"/>
    <n v="2025"/>
    <x v="1"/>
    <x v="1"/>
    <x v="20"/>
    <s v="Distributor"/>
    <s v="Consumer"/>
    <x v="0"/>
    <x v="3"/>
    <s v="Snacks"/>
    <x v="5"/>
    <n v="24"/>
    <n v="82"/>
    <n v="0.14000000000000001"/>
    <x v="114"/>
    <n v="1083.19"/>
    <n v="609.29"/>
    <n v="0.36"/>
    <x v="2"/>
    <s v="Express"/>
    <n v="3"/>
    <x v="0"/>
  </r>
  <r>
    <s v="ORD20250116"/>
    <x v="88"/>
    <s v="Nov"/>
    <x v="1"/>
    <n v="2025"/>
    <x v="1"/>
    <x v="9"/>
    <x v="12"/>
    <s v="Online"/>
    <s v="Corporate"/>
    <x v="8"/>
    <x v="1"/>
    <s v="Mobile"/>
    <x v="12"/>
    <n v="2"/>
    <n v="22491"/>
    <n v="0.15"/>
    <x v="115"/>
    <n v="31352.45"/>
    <n v="6882.25"/>
    <n v="0.18"/>
    <x v="2"/>
    <s v="Standard"/>
    <n v="3"/>
    <x v="0"/>
  </r>
  <r>
    <s v="ORD20250117"/>
    <x v="89"/>
    <s v="Apr"/>
    <x v="3"/>
    <n v="2025"/>
    <x v="0"/>
    <x v="2"/>
    <x v="13"/>
    <s v="Retail Store"/>
    <s v="Home Office"/>
    <x v="0"/>
    <x v="1"/>
    <s v="Laptop"/>
    <x v="17"/>
    <n v="3"/>
    <n v="49259"/>
    <n v="0.01"/>
    <x v="116"/>
    <n v="122891.35"/>
    <n v="23407.88"/>
    <n v="0.16"/>
    <x v="3"/>
    <s v="Express"/>
    <n v="1"/>
    <x v="1"/>
  </r>
  <r>
    <s v="ORD20250118"/>
    <x v="90"/>
    <s v="Apr"/>
    <x v="3"/>
    <n v="2025"/>
    <x v="1"/>
    <x v="1"/>
    <x v="1"/>
    <s v="Online"/>
    <s v="Consumer"/>
    <x v="7"/>
    <x v="1"/>
    <s v="Accessories"/>
    <x v="15"/>
    <n v="1"/>
    <n v="1357"/>
    <n v="0.11"/>
    <x v="117"/>
    <n v="821.26"/>
    <n v="386.47"/>
    <n v="0.32"/>
    <x v="1"/>
    <s v="Standard"/>
    <n v="3"/>
    <x v="0"/>
  </r>
  <r>
    <s v="ORD20250119"/>
    <x v="2"/>
    <s v="Dec"/>
    <x v="1"/>
    <n v="2025"/>
    <x v="0"/>
    <x v="2"/>
    <x v="2"/>
    <s v="Retail Store"/>
    <s v="Corporate"/>
    <x v="5"/>
    <x v="1"/>
    <s v="Laptop"/>
    <x v="17"/>
    <n v="2"/>
    <n v="48759"/>
    <n v="0.08"/>
    <x v="118"/>
    <n v="75361.91"/>
    <n v="14354.65"/>
    <n v="0.16"/>
    <x v="4"/>
    <s v="Same Day"/>
    <n v="0"/>
    <x v="1"/>
  </r>
  <r>
    <s v="ORD20250120"/>
    <x v="60"/>
    <s v="Aug"/>
    <x v="2"/>
    <n v="2025"/>
    <x v="3"/>
    <x v="7"/>
    <x v="17"/>
    <s v="Online"/>
    <s v="Consumer"/>
    <x v="6"/>
    <x v="1"/>
    <s v="Accessories"/>
    <x v="15"/>
    <n v="3"/>
    <n v="979"/>
    <n v="0.13"/>
    <x v="119"/>
    <n v="1737.53"/>
    <n v="817.66"/>
    <n v="0.32"/>
    <x v="0"/>
    <s v="Standard"/>
    <n v="6"/>
    <x v="0"/>
  </r>
  <r>
    <s v="ORD20250121"/>
    <x v="91"/>
    <s v="Aug"/>
    <x v="2"/>
    <n v="2025"/>
    <x v="0"/>
    <x v="11"/>
    <x v="16"/>
    <s v="Online"/>
    <s v="Corporate"/>
    <x v="1"/>
    <x v="2"/>
    <s v="Chair"/>
    <x v="7"/>
    <n v="3"/>
    <n v="7395"/>
    <n v="0.11"/>
    <x v="120"/>
    <n v="14216.15"/>
    <n v="5528.5"/>
    <n v="0.28000000000000003"/>
    <x v="4"/>
    <s v="Express"/>
    <n v="1"/>
    <x v="0"/>
  </r>
  <r>
    <s v="ORD20250122"/>
    <x v="92"/>
    <s v="Jun"/>
    <x v="3"/>
    <n v="2025"/>
    <x v="1"/>
    <x v="1"/>
    <x v="20"/>
    <s v="Online"/>
    <s v="Corporate"/>
    <x v="9"/>
    <x v="1"/>
    <s v="Mobile"/>
    <x v="1"/>
    <n v="6"/>
    <n v="63367"/>
    <n v="0.06"/>
    <x v="121"/>
    <n v="314503.09000000003"/>
    <n v="42886.79"/>
    <n v="0.12"/>
    <x v="3"/>
    <s v="Express"/>
    <n v="1"/>
    <x v="0"/>
  </r>
  <r>
    <s v="ORD20250123"/>
    <x v="93"/>
    <s v="Mar"/>
    <x v="0"/>
    <n v="2025"/>
    <x v="2"/>
    <x v="10"/>
    <x v="15"/>
    <s v="Distributor"/>
    <s v="Consumer"/>
    <x v="8"/>
    <x v="1"/>
    <s v="Laptop"/>
    <x v="17"/>
    <n v="5"/>
    <n v="55301"/>
    <n v="0.11"/>
    <x v="122"/>
    <n v="206715.14"/>
    <n v="39374.31"/>
    <n v="0.16"/>
    <x v="4"/>
    <s v="Express"/>
    <n v="1"/>
    <x v="3"/>
  </r>
  <r>
    <s v="ORD20250124"/>
    <x v="94"/>
    <s v="Oct"/>
    <x v="1"/>
    <n v="2025"/>
    <x v="3"/>
    <x v="12"/>
    <x v="19"/>
    <s v="Retail Store"/>
    <s v="Corporate"/>
    <x v="4"/>
    <x v="0"/>
    <s v="Men"/>
    <x v="4"/>
    <n v="5"/>
    <n v="2051"/>
    <n v="0.06"/>
    <x v="123"/>
    <n v="5591.03"/>
    <n v="4048.67"/>
    <n v="0.42"/>
    <x v="1"/>
    <s v="Express"/>
    <n v="2"/>
    <x v="0"/>
  </r>
  <r>
    <s v="ORD20250125"/>
    <x v="95"/>
    <s v="Mar"/>
    <x v="0"/>
    <n v="2025"/>
    <x v="3"/>
    <x v="13"/>
    <x v="21"/>
    <s v="Retail Store"/>
    <s v="Corporate"/>
    <x v="0"/>
    <x v="2"/>
    <s v="Chair"/>
    <x v="10"/>
    <n v="2"/>
    <n v="15412"/>
    <n v="0.04"/>
    <x v="124"/>
    <n v="21897.37"/>
    <n v="7693.67"/>
    <n v="0.26"/>
    <x v="1"/>
    <s v="Express"/>
    <n v="3"/>
    <x v="1"/>
  </r>
  <r>
    <s v="ORD20250126"/>
    <x v="96"/>
    <s v="Dec"/>
    <x v="1"/>
    <n v="2025"/>
    <x v="1"/>
    <x v="1"/>
    <x v="1"/>
    <s v="Online"/>
    <s v="Home Office"/>
    <x v="1"/>
    <x v="2"/>
    <s v="Table"/>
    <x v="11"/>
    <n v="2"/>
    <n v="21097"/>
    <n v="0.06"/>
    <x v="125"/>
    <n v="30143.39"/>
    <n v="9518.9699999999993"/>
    <n v="0.24"/>
    <x v="4"/>
    <s v="Express"/>
    <n v="1"/>
    <x v="1"/>
  </r>
  <r>
    <s v="ORD20250127"/>
    <x v="97"/>
    <s v="Jun"/>
    <x v="3"/>
    <n v="2025"/>
    <x v="0"/>
    <x v="11"/>
    <x v="16"/>
    <s v="Retail Store"/>
    <s v="Home Office"/>
    <x v="8"/>
    <x v="1"/>
    <s v="Laptop"/>
    <x v="2"/>
    <n v="6"/>
    <n v="61999"/>
    <n v="0.01"/>
    <x v="126"/>
    <n v="313032.95"/>
    <n v="55241.11"/>
    <n v="0.15"/>
    <x v="1"/>
    <s v="Standard"/>
    <n v="4"/>
    <x v="0"/>
  </r>
  <r>
    <s v="ORD20250128"/>
    <x v="98"/>
    <s v="Dec"/>
    <x v="1"/>
    <n v="2025"/>
    <x v="3"/>
    <x v="12"/>
    <x v="19"/>
    <s v="Online"/>
    <s v="Home Office"/>
    <x v="7"/>
    <x v="2"/>
    <s v="Table"/>
    <x v="11"/>
    <n v="2"/>
    <n v="19299"/>
    <n v="0.11"/>
    <x v="127"/>
    <n v="26107.69"/>
    <n v="8244.5300000000007"/>
    <n v="0.24"/>
    <x v="3"/>
    <s v="Same Day"/>
    <n v="0"/>
    <x v="0"/>
  </r>
  <r>
    <s v="ORD20250129"/>
    <x v="99"/>
    <s v="Sep"/>
    <x v="2"/>
    <n v="2025"/>
    <x v="3"/>
    <x v="13"/>
    <x v="21"/>
    <s v="Retail Store"/>
    <s v="Corporate"/>
    <x v="8"/>
    <x v="3"/>
    <s v="Snacks"/>
    <x v="5"/>
    <n v="30"/>
    <n v="79"/>
    <n v="0.1"/>
    <x v="128"/>
    <n v="1365.12"/>
    <n v="767.88"/>
    <n v="0.36"/>
    <x v="1"/>
    <s v="Standard"/>
    <n v="7"/>
    <x v="0"/>
  </r>
  <r>
    <s v="ORD20250130"/>
    <x v="100"/>
    <s v="Sep"/>
    <x v="2"/>
    <n v="2025"/>
    <x v="3"/>
    <x v="5"/>
    <x v="5"/>
    <s v="Distributor"/>
    <s v="Consumer"/>
    <x v="2"/>
    <x v="2"/>
    <s v="Table"/>
    <x v="3"/>
    <n v="1"/>
    <n v="7802"/>
    <n v="0.08"/>
    <x v="129"/>
    <n v="5096.2700000000004"/>
    <n v="2081.5700000000002"/>
    <n v="0.28999999999999998"/>
    <x v="4"/>
    <s v="Same Day"/>
    <n v="0"/>
    <x v="1"/>
  </r>
  <r>
    <s v="ORD20250131"/>
    <x v="101"/>
    <s v="Feb"/>
    <x v="0"/>
    <n v="2025"/>
    <x v="0"/>
    <x v="0"/>
    <x v="8"/>
    <s v="Distributor"/>
    <s v="Home Office"/>
    <x v="7"/>
    <x v="3"/>
    <s v="Beverages"/>
    <x v="9"/>
    <n v="7"/>
    <n v="324"/>
    <n v="0.11"/>
    <x v="130"/>
    <n v="1352.41"/>
    <n v="666.11"/>
    <n v="0.33"/>
    <x v="2"/>
    <s v="Same Day"/>
    <n v="0"/>
    <x v="2"/>
  </r>
  <r>
    <s v="ORD20250132"/>
    <x v="102"/>
    <s v="Aug"/>
    <x v="2"/>
    <n v="2025"/>
    <x v="2"/>
    <x v="4"/>
    <x v="4"/>
    <s v="Distributor"/>
    <s v="Consumer"/>
    <x v="4"/>
    <x v="0"/>
    <s v="Men"/>
    <x v="13"/>
    <n v="8"/>
    <n v="2073"/>
    <n v="0.13"/>
    <x v="131"/>
    <n v="8656.85"/>
    <n v="5771.23"/>
    <n v="0.4"/>
    <x v="2"/>
    <s v="Same Day"/>
    <n v="0"/>
    <x v="2"/>
  </r>
  <r>
    <s v="ORD20250133"/>
    <x v="103"/>
    <s v="Nov"/>
    <x v="1"/>
    <n v="2025"/>
    <x v="1"/>
    <x v="1"/>
    <x v="1"/>
    <s v="Retail Store"/>
    <s v="Corporate"/>
    <x v="4"/>
    <x v="3"/>
    <s v="Beverages"/>
    <x v="9"/>
    <n v="24"/>
    <n v="433"/>
    <n v="0.08"/>
    <x v="132"/>
    <n v="6405.63"/>
    <n v="3155.01"/>
    <n v="0.33"/>
    <x v="0"/>
    <s v="Same Day"/>
    <n v="0"/>
    <x v="1"/>
  </r>
  <r>
    <s v="ORD20250134"/>
    <x v="41"/>
    <s v="Mar"/>
    <x v="0"/>
    <n v="2025"/>
    <x v="1"/>
    <x v="6"/>
    <x v="6"/>
    <s v="Retail Store"/>
    <s v="Home Office"/>
    <x v="2"/>
    <x v="1"/>
    <s v="Laptop"/>
    <x v="2"/>
    <n v="3"/>
    <n v="53150"/>
    <n v="0.02"/>
    <x v="133"/>
    <n v="132821.85"/>
    <n v="23439.15"/>
    <n v="0.15"/>
    <x v="1"/>
    <s v="Same Day"/>
    <n v="0"/>
    <x v="1"/>
  </r>
  <r>
    <s v="ORD20250135"/>
    <x v="83"/>
    <s v="Jul"/>
    <x v="2"/>
    <n v="2025"/>
    <x v="3"/>
    <x v="5"/>
    <x v="5"/>
    <s v="Distributor"/>
    <s v="Consumer"/>
    <x v="4"/>
    <x v="1"/>
    <s v="Laptop"/>
    <x v="17"/>
    <n v="6"/>
    <n v="55461"/>
    <n v="0.17"/>
    <x v="134"/>
    <n v="232004.46"/>
    <n v="44191.32"/>
    <n v="0.16"/>
    <x v="2"/>
    <s v="Express"/>
    <n v="2"/>
    <x v="3"/>
  </r>
  <r>
    <s v="ORD20250136"/>
    <x v="104"/>
    <s v="Nov"/>
    <x v="1"/>
    <n v="2025"/>
    <x v="3"/>
    <x v="13"/>
    <x v="21"/>
    <s v="Distributor"/>
    <s v="Consumer"/>
    <x v="3"/>
    <x v="1"/>
    <s v="Laptop"/>
    <x v="17"/>
    <n v="4"/>
    <n v="56195"/>
    <n v="0.1"/>
    <x v="135"/>
    <n v="169933.68"/>
    <n v="32368.32"/>
    <n v="0.16"/>
    <x v="2"/>
    <s v="Standard"/>
    <n v="3"/>
    <x v="2"/>
  </r>
  <r>
    <s v="ORD20250137"/>
    <x v="105"/>
    <s v="Sep"/>
    <x v="2"/>
    <n v="2025"/>
    <x v="0"/>
    <x v="11"/>
    <x v="16"/>
    <s v="Retail Store"/>
    <s v="Corporate"/>
    <x v="3"/>
    <x v="1"/>
    <s v="Accessories"/>
    <x v="15"/>
    <n v="3"/>
    <n v="1483"/>
    <n v="0.04"/>
    <x v="136"/>
    <n v="2904.31"/>
    <n v="1366.73"/>
    <n v="0.32"/>
    <x v="3"/>
    <s v="Standard"/>
    <n v="7"/>
    <x v="1"/>
  </r>
  <r>
    <s v="ORD20250138"/>
    <x v="106"/>
    <s v="May"/>
    <x v="3"/>
    <n v="2025"/>
    <x v="2"/>
    <x v="10"/>
    <x v="15"/>
    <s v="Retail Store"/>
    <s v="Corporate"/>
    <x v="6"/>
    <x v="2"/>
    <s v="Table"/>
    <x v="3"/>
    <n v="3"/>
    <n v="5335"/>
    <n v="0.09"/>
    <x v="137"/>
    <n v="10340.83"/>
    <n v="4223.72"/>
    <n v="0.28999999999999998"/>
    <x v="0"/>
    <s v="Standard"/>
    <n v="3"/>
    <x v="0"/>
  </r>
  <r>
    <s v="ORD20250139"/>
    <x v="43"/>
    <s v="Jul"/>
    <x v="2"/>
    <n v="2025"/>
    <x v="2"/>
    <x v="8"/>
    <x v="10"/>
    <s v="Retail Store"/>
    <s v="Home Office"/>
    <x v="3"/>
    <x v="1"/>
    <s v="Mobile"/>
    <x v="1"/>
    <n v="4"/>
    <n v="64081"/>
    <n v="7.0000000000000007E-2"/>
    <x v="138"/>
    <n v="209775.56"/>
    <n v="28605.759999999998"/>
    <n v="0.12"/>
    <x v="3"/>
    <s v="Standard"/>
    <n v="7"/>
    <x v="0"/>
  </r>
  <r>
    <s v="ORD20250140"/>
    <x v="33"/>
    <s v="Jan"/>
    <x v="0"/>
    <n v="2025"/>
    <x v="3"/>
    <x v="7"/>
    <x v="17"/>
    <s v="Distributor"/>
    <s v="Corporate"/>
    <x v="4"/>
    <x v="3"/>
    <s v="Snacks"/>
    <x v="5"/>
    <n v="21"/>
    <n v="103"/>
    <n v="0.14000000000000001"/>
    <x v="139"/>
    <n v="1190.52"/>
    <n v="669.66"/>
    <n v="0.36"/>
    <x v="1"/>
    <s v="Same Day"/>
    <n v="0"/>
    <x v="0"/>
  </r>
  <r>
    <s v="ORD20250141"/>
    <x v="27"/>
    <s v="May"/>
    <x v="3"/>
    <n v="2025"/>
    <x v="0"/>
    <x v="2"/>
    <x v="13"/>
    <s v="Online"/>
    <s v="Corporate"/>
    <x v="8"/>
    <x v="0"/>
    <s v="Men"/>
    <x v="13"/>
    <n v="2"/>
    <n v="1421"/>
    <n v="0.1"/>
    <x v="140"/>
    <n v="1534.68"/>
    <n v="1023.12"/>
    <n v="0.4"/>
    <x v="3"/>
    <s v="Same Day"/>
    <n v="0"/>
    <x v="2"/>
  </r>
  <r>
    <s v="ORD20250142"/>
    <x v="82"/>
    <s v="Sep"/>
    <x v="2"/>
    <n v="2025"/>
    <x v="1"/>
    <x v="9"/>
    <x v="23"/>
    <s v="Online"/>
    <s v="Corporate"/>
    <x v="7"/>
    <x v="3"/>
    <s v="Snacks"/>
    <x v="16"/>
    <n v="26"/>
    <n v="120"/>
    <n v="0.1"/>
    <x v="141"/>
    <n v="1740.96"/>
    <n v="1067.04"/>
    <n v="0.38"/>
    <x v="1"/>
    <s v="Same Day"/>
    <n v="0"/>
    <x v="0"/>
  </r>
  <r>
    <s v="ORD20250143"/>
    <x v="107"/>
    <s v="Oct"/>
    <x v="1"/>
    <n v="2025"/>
    <x v="3"/>
    <x v="12"/>
    <x v="25"/>
    <s v="Distributor"/>
    <s v="Home Office"/>
    <x v="5"/>
    <x v="3"/>
    <s v="Snacks"/>
    <x v="5"/>
    <n v="13"/>
    <n v="156"/>
    <n v="0.12"/>
    <x v="142"/>
    <n v="1142.17"/>
    <n v="642.47"/>
    <n v="0.36"/>
    <x v="3"/>
    <s v="Same Day"/>
    <n v="0"/>
    <x v="0"/>
  </r>
  <r>
    <s v="ORD20250144"/>
    <x v="4"/>
    <s v="Feb"/>
    <x v="0"/>
    <n v="2025"/>
    <x v="3"/>
    <x v="7"/>
    <x v="7"/>
    <s v="Retail Store"/>
    <s v="Home Office"/>
    <x v="0"/>
    <x v="1"/>
    <s v="Mobile"/>
    <x v="12"/>
    <n v="2"/>
    <n v="24065"/>
    <n v="0.05"/>
    <x v="143"/>
    <n v="37493.269999999997"/>
    <n v="8230.23"/>
    <n v="0.18"/>
    <x v="0"/>
    <s v="Express"/>
    <n v="1"/>
    <x v="1"/>
  </r>
  <r>
    <s v="ORD20250145"/>
    <x v="108"/>
    <s v="Oct"/>
    <x v="1"/>
    <n v="2025"/>
    <x v="1"/>
    <x v="1"/>
    <x v="1"/>
    <s v="Retail Store"/>
    <s v="Home Office"/>
    <x v="0"/>
    <x v="1"/>
    <s v="Laptop"/>
    <x v="17"/>
    <n v="6"/>
    <n v="59510"/>
    <n v="0"/>
    <x v="144"/>
    <n v="299930.40000000002"/>
    <n v="57129.599999999999"/>
    <n v="0.16"/>
    <x v="4"/>
    <s v="Express"/>
    <n v="2"/>
    <x v="1"/>
  </r>
  <r>
    <s v="ORD20250146"/>
    <x v="65"/>
    <s v="Oct"/>
    <x v="1"/>
    <n v="2025"/>
    <x v="2"/>
    <x v="8"/>
    <x v="10"/>
    <s v="Retail Store"/>
    <s v="Corporate"/>
    <x v="9"/>
    <x v="1"/>
    <s v="Accessories"/>
    <x v="15"/>
    <n v="2"/>
    <n v="956"/>
    <n v="0.08"/>
    <x v="145"/>
    <n v="1196.1500000000001"/>
    <n v="562.89"/>
    <n v="0.32"/>
    <x v="3"/>
    <s v="Same Day"/>
    <n v="0"/>
    <x v="2"/>
  </r>
  <r>
    <s v="ORD20250147"/>
    <x v="109"/>
    <s v="May"/>
    <x v="3"/>
    <n v="2025"/>
    <x v="3"/>
    <x v="12"/>
    <x v="19"/>
    <s v="Distributor"/>
    <s v="Consumer"/>
    <x v="2"/>
    <x v="3"/>
    <s v="Beverages"/>
    <x v="9"/>
    <n v="8"/>
    <n v="389"/>
    <n v="0.11"/>
    <x v="146"/>
    <n v="1855.69"/>
    <n v="913.99"/>
    <n v="0.33"/>
    <x v="4"/>
    <s v="Standard"/>
    <n v="7"/>
    <x v="0"/>
  </r>
  <r>
    <s v="ORD20250148"/>
    <x v="73"/>
    <s v="Sep"/>
    <x v="2"/>
    <n v="2025"/>
    <x v="0"/>
    <x v="11"/>
    <x v="16"/>
    <s v="Online"/>
    <s v="Home Office"/>
    <x v="3"/>
    <x v="2"/>
    <s v="Chair"/>
    <x v="7"/>
    <n v="1"/>
    <n v="5850"/>
    <n v="0.12"/>
    <x v="147"/>
    <n v="3706.56"/>
    <n v="1441.44"/>
    <n v="0.28000000000000003"/>
    <x v="0"/>
    <s v="Same Day"/>
    <n v="0"/>
    <x v="0"/>
  </r>
  <r>
    <s v="ORD20250149"/>
    <x v="110"/>
    <s v="Oct"/>
    <x v="1"/>
    <n v="2025"/>
    <x v="2"/>
    <x v="8"/>
    <x v="10"/>
    <s v="Online"/>
    <s v="Consumer"/>
    <x v="8"/>
    <x v="2"/>
    <s v="Table"/>
    <x v="3"/>
    <n v="3"/>
    <n v="5921"/>
    <n v="0.13"/>
    <x v="148"/>
    <n v="10972.21"/>
    <n v="4481.6000000000004"/>
    <n v="0.28999999999999998"/>
    <x v="0"/>
    <s v="Standard"/>
    <n v="3"/>
    <x v="0"/>
  </r>
  <r>
    <s v="ORD20250150"/>
    <x v="111"/>
    <s v="Mar"/>
    <x v="0"/>
    <n v="2025"/>
    <x v="2"/>
    <x v="4"/>
    <x v="14"/>
    <s v="Distributor"/>
    <s v="Corporate"/>
    <x v="2"/>
    <x v="1"/>
    <s v="Mobile"/>
    <x v="12"/>
    <n v="4"/>
    <n v="23000"/>
    <n v="0.08"/>
    <x v="149"/>
    <n v="69404.800000000003"/>
    <n v="15235.2"/>
    <n v="0.18"/>
    <x v="1"/>
    <s v="Express"/>
    <n v="3"/>
    <x v="1"/>
  </r>
  <r>
    <s v="ORD20250151"/>
    <x v="96"/>
    <s v="Dec"/>
    <x v="1"/>
    <n v="2025"/>
    <x v="1"/>
    <x v="6"/>
    <x v="11"/>
    <s v="Distributor"/>
    <s v="Home Office"/>
    <x v="4"/>
    <x v="0"/>
    <s v="Men"/>
    <x v="4"/>
    <n v="9"/>
    <n v="1978"/>
    <n v="0.14000000000000001"/>
    <x v="150"/>
    <n v="8879.64"/>
    <n v="6430.08"/>
    <n v="0.42"/>
    <x v="0"/>
    <s v="Standard"/>
    <n v="3"/>
    <x v="1"/>
  </r>
  <r>
    <s v="ORD20250152"/>
    <x v="112"/>
    <s v="Dec"/>
    <x v="1"/>
    <n v="2025"/>
    <x v="1"/>
    <x v="1"/>
    <x v="1"/>
    <s v="Distributor"/>
    <s v="Corporate"/>
    <x v="9"/>
    <x v="1"/>
    <s v="Mobile"/>
    <x v="1"/>
    <n v="6"/>
    <n v="70732"/>
    <n v="0.12"/>
    <x v="151"/>
    <n v="328649.15999999997"/>
    <n v="44815.8"/>
    <n v="0.12"/>
    <x v="0"/>
    <s v="Same Day"/>
    <n v="0"/>
    <x v="1"/>
  </r>
  <r>
    <s v="ORD20250153"/>
    <x v="113"/>
    <s v="Feb"/>
    <x v="0"/>
    <n v="2025"/>
    <x v="0"/>
    <x v="11"/>
    <x v="16"/>
    <s v="Online"/>
    <s v="Home Office"/>
    <x v="0"/>
    <x v="3"/>
    <s v="Beverages"/>
    <x v="9"/>
    <n v="17"/>
    <n v="397"/>
    <n v="0.15"/>
    <x v="152"/>
    <n v="3843.56"/>
    <n v="1893.09"/>
    <n v="0.33"/>
    <x v="1"/>
    <s v="Standard"/>
    <n v="5"/>
    <x v="3"/>
  </r>
  <r>
    <s v="ORD20250154"/>
    <x v="76"/>
    <s v="Oct"/>
    <x v="1"/>
    <n v="2025"/>
    <x v="3"/>
    <x v="7"/>
    <x v="7"/>
    <s v="Distributor"/>
    <s v="Corporate"/>
    <x v="7"/>
    <x v="0"/>
    <s v="Men"/>
    <x v="4"/>
    <n v="4"/>
    <n v="2107"/>
    <n v="0.13"/>
    <x v="153"/>
    <n v="4252.7700000000004"/>
    <n v="3079.59"/>
    <n v="0.42"/>
    <x v="2"/>
    <s v="Standard"/>
    <n v="6"/>
    <x v="0"/>
  </r>
  <r>
    <s v="ORD20250155"/>
    <x v="114"/>
    <s v="Apr"/>
    <x v="3"/>
    <n v="2025"/>
    <x v="3"/>
    <x v="13"/>
    <x v="22"/>
    <s v="Retail Store"/>
    <s v="Home Office"/>
    <x v="8"/>
    <x v="0"/>
    <s v="Women"/>
    <x v="0"/>
    <n v="11"/>
    <n v="3606"/>
    <n v="0.06"/>
    <x v="154"/>
    <n v="21253.040000000001"/>
    <n v="16033"/>
    <n v="0.43"/>
    <x v="2"/>
    <s v="Standard"/>
    <n v="6"/>
    <x v="1"/>
  </r>
  <r>
    <s v="ORD20250156"/>
    <x v="115"/>
    <s v="Nov"/>
    <x v="1"/>
    <n v="2025"/>
    <x v="0"/>
    <x v="0"/>
    <x v="0"/>
    <s v="Retail Store"/>
    <s v="Corporate"/>
    <x v="3"/>
    <x v="2"/>
    <s v="Table"/>
    <x v="3"/>
    <n v="2"/>
    <n v="7461"/>
    <n v="0.04"/>
    <x v="155"/>
    <n v="10170.84"/>
    <n v="4154.28"/>
    <n v="0.28999999999999998"/>
    <x v="2"/>
    <s v="Express"/>
    <n v="2"/>
    <x v="1"/>
  </r>
  <r>
    <s v="ORD20250157"/>
    <x v="1"/>
    <s v="Mar"/>
    <x v="0"/>
    <n v="2025"/>
    <x v="1"/>
    <x v="1"/>
    <x v="20"/>
    <s v="Distributor"/>
    <s v="Consumer"/>
    <x v="1"/>
    <x v="2"/>
    <s v="Chair"/>
    <x v="7"/>
    <n v="2"/>
    <n v="6131"/>
    <n v="0.1"/>
    <x v="156"/>
    <n v="7945.78"/>
    <n v="3090.02"/>
    <n v="0.28000000000000003"/>
    <x v="0"/>
    <s v="Standard"/>
    <n v="4"/>
    <x v="0"/>
  </r>
  <r>
    <s v="ORD20250158"/>
    <x v="116"/>
    <s v="Jun"/>
    <x v="3"/>
    <n v="2025"/>
    <x v="0"/>
    <x v="2"/>
    <x v="13"/>
    <s v="Retail Store"/>
    <s v="Corporate"/>
    <x v="1"/>
    <x v="1"/>
    <s v="Mobile"/>
    <x v="12"/>
    <n v="1"/>
    <n v="27545"/>
    <n v="0.03"/>
    <x v="157"/>
    <n v="21909.29"/>
    <n v="4809.3599999999997"/>
    <n v="0.18"/>
    <x v="3"/>
    <s v="Express"/>
    <n v="1"/>
    <x v="3"/>
  </r>
  <r>
    <s v="ORD20250159"/>
    <x v="117"/>
    <s v="Feb"/>
    <x v="0"/>
    <n v="2025"/>
    <x v="0"/>
    <x v="11"/>
    <x v="16"/>
    <s v="Distributor"/>
    <s v="Corporate"/>
    <x v="6"/>
    <x v="1"/>
    <s v="Accessories"/>
    <x v="8"/>
    <n v="5"/>
    <n v="4179"/>
    <n v="0.1"/>
    <x v="158"/>
    <n v="13163.85"/>
    <n v="5641.65"/>
    <n v="0.3"/>
    <x v="4"/>
    <s v="Standard"/>
    <n v="5"/>
    <x v="2"/>
  </r>
  <r>
    <s v="ORD20250160"/>
    <x v="118"/>
    <s v="Nov"/>
    <x v="1"/>
    <n v="2025"/>
    <x v="1"/>
    <x v="6"/>
    <x v="11"/>
    <s v="Online"/>
    <s v="Home Office"/>
    <x v="2"/>
    <x v="2"/>
    <s v="Table"/>
    <x v="3"/>
    <n v="3"/>
    <n v="6366"/>
    <n v="0.15"/>
    <x v="159"/>
    <n v="11525.64"/>
    <n v="4707.66"/>
    <n v="0.28999999999999998"/>
    <x v="1"/>
    <s v="Same Day"/>
    <n v="0"/>
    <x v="1"/>
  </r>
  <r>
    <s v="ORD20250161"/>
    <x v="119"/>
    <s v="Apr"/>
    <x v="3"/>
    <n v="2025"/>
    <x v="3"/>
    <x v="13"/>
    <x v="21"/>
    <s v="Online"/>
    <s v="Corporate"/>
    <x v="2"/>
    <x v="1"/>
    <s v="Mobile"/>
    <x v="12"/>
    <n v="2"/>
    <n v="23245"/>
    <n v="0.11"/>
    <x v="160"/>
    <n v="33928.400000000001"/>
    <n v="7447.7"/>
    <n v="0.18"/>
    <x v="1"/>
    <s v="Express"/>
    <n v="3"/>
    <x v="0"/>
  </r>
  <r>
    <s v="ORD20250162"/>
    <x v="120"/>
    <s v="Aug"/>
    <x v="2"/>
    <n v="2025"/>
    <x v="0"/>
    <x v="11"/>
    <x v="16"/>
    <s v="Distributor"/>
    <s v="Consumer"/>
    <x v="7"/>
    <x v="3"/>
    <s v="Beverages"/>
    <x v="9"/>
    <n v="6"/>
    <n v="277"/>
    <n v="0.18"/>
    <x v="161"/>
    <n v="913.1"/>
    <n v="449.74"/>
    <n v="0.33"/>
    <x v="4"/>
    <s v="Express"/>
    <n v="3"/>
    <x v="0"/>
  </r>
  <r>
    <s v="ORD20250163"/>
    <x v="93"/>
    <s v="Mar"/>
    <x v="0"/>
    <n v="2025"/>
    <x v="1"/>
    <x v="1"/>
    <x v="1"/>
    <s v="Distributor"/>
    <s v="Corporate"/>
    <x v="2"/>
    <x v="2"/>
    <s v="Chair"/>
    <x v="10"/>
    <n v="3"/>
    <n v="10436"/>
    <n v="0.16"/>
    <x v="162"/>
    <n v="19461.05"/>
    <n v="6837.67"/>
    <n v="0.26"/>
    <x v="0"/>
    <s v="Standard"/>
    <n v="7"/>
    <x v="2"/>
  </r>
  <r>
    <s v="ORD20250164"/>
    <x v="121"/>
    <s v="May"/>
    <x v="3"/>
    <n v="2025"/>
    <x v="0"/>
    <x v="11"/>
    <x v="16"/>
    <s v="Retail Store"/>
    <s v="Home Office"/>
    <x v="2"/>
    <x v="0"/>
    <s v="Men"/>
    <x v="13"/>
    <n v="11"/>
    <n v="1661"/>
    <n v="0.02"/>
    <x v="163"/>
    <n v="10743.35"/>
    <n v="7162.23"/>
    <n v="0.4"/>
    <x v="4"/>
    <s v="Standard"/>
    <n v="4"/>
    <x v="3"/>
  </r>
  <r>
    <s v="ORD20250165"/>
    <x v="122"/>
    <s v="Jul"/>
    <x v="2"/>
    <n v="2025"/>
    <x v="0"/>
    <x v="11"/>
    <x v="16"/>
    <s v="Distributor"/>
    <s v="Consumer"/>
    <x v="0"/>
    <x v="2"/>
    <s v="Chair"/>
    <x v="7"/>
    <n v="2"/>
    <n v="5469"/>
    <n v="0.14000000000000001"/>
    <x v="164"/>
    <n v="6772.81"/>
    <n v="2633.87"/>
    <n v="0.28000000000000003"/>
    <x v="4"/>
    <s v="Express"/>
    <n v="1"/>
    <x v="2"/>
  </r>
  <r>
    <s v="ORD20250166"/>
    <x v="75"/>
    <s v="Mar"/>
    <x v="0"/>
    <n v="2025"/>
    <x v="1"/>
    <x v="1"/>
    <x v="1"/>
    <s v="Online"/>
    <s v="Corporate"/>
    <x v="4"/>
    <x v="2"/>
    <s v="Chair"/>
    <x v="7"/>
    <n v="1"/>
    <n v="5034"/>
    <n v="0.08"/>
    <x v="165"/>
    <n v="3334.52"/>
    <n v="1296.76"/>
    <n v="0.28000000000000003"/>
    <x v="3"/>
    <s v="Express"/>
    <n v="2"/>
    <x v="1"/>
  </r>
  <r>
    <s v="ORD20250167"/>
    <x v="123"/>
    <s v="Apr"/>
    <x v="3"/>
    <n v="2025"/>
    <x v="0"/>
    <x v="2"/>
    <x v="2"/>
    <s v="Retail Store"/>
    <s v="Consumer"/>
    <x v="9"/>
    <x v="3"/>
    <s v="Snacks"/>
    <x v="5"/>
    <n v="25"/>
    <n v="161"/>
    <n v="0.01"/>
    <x v="166"/>
    <n v="2550.2399999999998"/>
    <n v="1434.51"/>
    <n v="0.36"/>
    <x v="1"/>
    <s v="Standard"/>
    <n v="7"/>
    <x v="0"/>
  </r>
  <r>
    <s v="ORD20250168"/>
    <x v="124"/>
    <s v="Jan"/>
    <x v="0"/>
    <n v="2025"/>
    <x v="0"/>
    <x v="2"/>
    <x v="13"/>
    <s v="Distributor"/>
    <s v="Consumer"/>
    <x v="5"/>
    <x v="2"/>
    <s v="Chair"/>
    <x v="10"/>
    <n v="2"/>
    <n v="14061"/>
    <n v="0.11"/>
    <x v="167"/>
    <n v="18521.150000000001"/>
    <n v="6507.43"/>
    <n v="0.26"/>
    <x v="1"/>
    <s v="Same Day"/>
    <n v="0"/>
    <x v="0"/>
  </r>
  <r>
    <s v="ORD20250169"/>
    <x v="22"/>
    <s v="Nov"/>
    <x v="1"/>
    <n v="2025"/>
    <x v="0"/>
    <x v="0"/>
    <x v="0"/>
    <s v="Distributor"/>
    <s v="Home Office"/>
    <x v="2"/>
    <x v="2"/>
    <s v="Chair"/>
    <x v="10"/>
    <n v="3"/>
    <n v="15707"/>
    <n v="0.12"/>
    <x v="168"/>
    <n v="30685.200000000001"/>
    <n v="10781.28"/>
    <n v="0.26"/>
    <x v="0"/>
    <s v="Same Day"/>
    <n v="0"/>
    <x v="0"/>
  </r>
  <r>
    <s v="ORD20250170"/>
    <x v="125"/>
    <s v="May"/>
    <x v="3"/>
    <n v="2025"/>
    <x v="2"/>
    <x v="10"/>
    <x v="15"/>
    <s v="Distributor"/>
    <s v="Consumer"/>
    <x v="0"/>
    <x v="3"/>
    <s v="Snacks"/>
    <x v="16"/>
    <n v="8"/>
    <n v="64"/>
    <n v="0.18"/>
    <x v="169"/>
    <n v="260.3"/>
    <n v="159.54"/>
    <n v="0.38"/>
    <x v="1"/>
    <s v="Same Day"/>
    <n v="0"/>
    <x v="3"/>
  </r>
  <r>
    <s v="ORD20250171"/>
    <x v="126"/>
    <s v="Mar"/>
    <x v="0"/>
    <n v="2025"/>
    <x v="2"/>
    <x v="8"/>
    <x v="10"/>
    <s v="Distributor"/>
    <s v="Corporate"/>
    <x v="5"/>
    <x v="3"/>
    <s v="Beverages"/>
    <x v="6"/>
    <n v="9"/>
    <n v="327"/>
    <n v="0.13"/>
    <x v="170"/>
    <n v="1689.87"/>
    <n v="870.54"/>
    <n v="0.34"/>
    <x v="3"/>
    <s v="Express"/>
    <n v="1"/>
    <x v="1"/>
  </r>
  <r>
    <s v="ORD20250172"/>
    <x v="127"/>
    <s v="Dec"/>
    <x v="1"/>
    <n v="2025"/>
    <x v="3"/>
    <x v="7"/>
    <x v="7"/>
    <s v="Distributor"/>
    <s v="Consumer"/>
    <x v="7"/>
    <x v="1"/>
    <s v="Accessories"/>
    <x v="8"/>
    <n v="4"/>
    <n v="1932"/>
    <n v="0.09"/>
    <x v="171"/>
    <n v="4922.74"/>
    <n v="2109.7399999999998"/>
    <n v="0.3"/>
    <x v="1"/>
    <s v="Standard"/>
    <n v="7"/>
    <x v="0"/>
  </r>
  <r>
    <s v="ORD20250173"/>
    <x v="4"/>
    <s v="Feb"/>
    <x v="0"/>
    <n v="2025"/>
    <x v="1"/>
    <x v="1"/>
    <x v="1"/>
    <s v="Online"/>
    <s v="Corporate"/>
    <x v="4"/>
    <x v="1"/>
    <s v="Accessories"/>
    <x v="15"/>
    <n v="6"/>
    <n v="1492"/>
    <n v="0.11"/>
    <x v="172"/>
    <n v="5417.75"/>
    <n v="2549.5300000000002"/>
    <n v="0.32"/>
    <x v="3"/>
    <s v="Express"/>
    <n v="1"/>
    <x v="0"/>
  </r>
  <r>
    <s v="ORD20250174"/>
    <x v="48"/>
    <s v="Aug"/>
    <x v="2"/>
    <n v="2025"/>
    <x v="2"/>
    <x v="10"/>
    <x v="15"/>
    <s v="Distributor"/>
    <s v="Corporate"/>
    <x v="8"/>
    <x v="0"/>
    <s v="Men"/>
    <x v="4"/>
    <n v="10"/>
    <n v="1560"/>
    <n v="0.08"/>
    <x v="173"/>
    <n v="8324.16"/>
    <n v="6027.84"/>
    <n v="0.42"/>
    <x v="3"/>
    <s v="Standard"/>
    <n v="7"/>
    <x v="0"/>
  </r>
  <r>
    <s v="ORD20250175"/>
    <x v="128"/>
    <s v="Jul"/>
    <x v="2"/>
    <n v="2025"/>
    <x v="1"/>
    <x v="1"/>
    <x v="20"/>
    <s v="Online"/>
    <s v="Corporate"/>
    <x v="2"/>
    <x v="1"/>
    <s v="Laptop"/>
    <x v="17"/>
    <n v="3"/>
    <n v="53423"/>
    <n v="0.15"/>
    <x v="174"/>
    <n v="114432.07"/>
    <n v="21796.58"/>
    <n v="0.16"/>
    <x v="2"/>
    <s v="Standard"/>
    <n v="7"/>
    <x v="2"/>
  </r>
  <r>
    <s v="ORD20250176"/>
    <x v="1"/>
    <s v="Mar"/>
    <x v="0"/>
    <n v="2025"/>
    <x v="1"/>
    <x v="3"/>
    <x v="3"/>
    <s v="Retail Store"/>
    <s v="Corporate"/>
    <x v="0"/>
    <x v="0"/>
    <s v="Men"/>
    <x v="13"/>
    <n v="7"/>
    <n v="2290"/>
    <n v="0.04"/>
    <x v="175"/>
    <n v="9233.2800000000007"/>
    <n v="6155.52"/>
    <n v="0.4"/>
    <x v="2"/>
    <s v="Express"/>
    <n v="3"/>
    <x v="0"/>
  </r>
  <r>
    <s v="ORD20250177"/>
    <x v="129"/>
    <s v="Feb"/>
    <x v="0"/>
    <n v="2025"/>
    <x v="3"/>
    <x v="13"/>
    <x v="22"/>
    <s v="Retail Store"/>
    <s v="Consumer"/>
    <x v="8"/>
    <x v="2"/>
    <s v="Table"/>
    <x v="11"/>
    <n v="2"/>
    <n v="27337"/>
    <n v="0.03"/>
    <x v="176"/>
    <n v="40305.67"/>
    <n v="12728.11"/>
    <n v="0.24"/>
    <x v="1"/>
    <s v="Standard"/>
    <n v="5"/>
    <x v="2"/>
  </r>
  <r>
    <s v="ORD20250178"/>
    <x v="130"/>
    <s v="Aug"/>
    <x v="2"/>
    <n v="2025"/>
    <x v="2"/>
    <x v="8"/>
    <x v="10"/>
    <s v="Distributor"/>
    <s v="Consumer"/>
    <x v="3"/>
    <x v="0"/>
    <s v="Women"/>
    <x v="14"/>
    <n v="6"/>
    <n v="3488"/>
    <n v="0.18"/>
    <x v="177"/>
    <n v="10811.4"/>
    <n v="6349.56"/>
    <n v="0.37"/>
    <x v="3"/>
    <s v="Standard"/>
    <n v="5"/>
    <x v="0"/>
  </r>
  <r>
    <s v="ORD20250179"/>
    <x v="128"/>
    <s v="Jul"/>
    <x v="2"/>
    <n v="2025"/>
    <x v="3"/>
    <x v="13"/>
    <x v="22"/>
    <s v="Online"/>
    <s v="Corporate"/>
    <x v="8"/>
    <x v="1"/>
    <s v="Accessories"/>
    <x v="15"/>
    <n v="4"/>
    <n v="1482"/>
    <n v="0.06"/>
    <x v="178"/>
    <n v="3789.18"/>
    <n v="1783.14"/>
    <n v="0.32"/>
    <x v="0"/>
    <s v="Express"/>
    <n v="3"/>
    <x v="2"/>
  </r>
  <r>
    <s v="ORD20250180"/>
    <x v="66"/>
    <s v="Jul"/>
    <x v="2"/>
    <n v="2025"/>
    <x v="1"/>
    <x v="3"/>
    <x v="3"/>
    <s v="Online"/>
    <s v="Consumer"/>
    <x v="3"/>
    <x v="0"/>
    <s v="Women"/>
    <x v="14"/>
    <n v="10"/>
    <n v="4689"/>
    <n v="0.14000000000000001"/>
    <x v="179"/>
    <n v="25405"/>
    <n v="14920.4"/>
    <n v="0.37"/>
    <x v="0"/>
    <s v="Express"/>
    <n v="2"/>
    <x v="0"/>
  </r>
  <r>
    <s v="ORD20250181"/>
    <x v="131"/>
    <s v="Oct"/>
    <x v="1"/>
    <n v="2025"/>
    <x v="1"/>
    <x v="3"/>
    <x v="3"/>
    <s v="Distributor"/>
    <s v="Home Office"/>
    <x v="1"/>
    <x v="0"/>
    <s v="Men"/>
    <x v="13"/>
    <n v="8"/>
    <n v="2091"/>
    <n v="0.18"/>
    <x v="180"/>
    <n v="8230.18"/>
    <n v="5486.78"/>
    <n v="0.4"/>
    <x v="1"/>
    <s v="Express"/>
    <n v="1"/>
    <x v="0"/>
  </r>
  <r>
    <s v="ORD20250182"/>
    <x v="132"/>
    <s v="Jan"/>
    <x v="0"/>
    <n v="2025"/>
    <x v="1"/>
    <x v="1"/>
    <x v="1"/>
    <s v="Online"/>
    <s v="Home Office"/>
    <x v="4"/>
    <x v="2"/>
    <s v="Table"/>
    <x v="3"/>
    <n v="2"/>
    <n v="10712"/>
    <n v="0.12"/>
    <x v="181"/>
    <n v="13385.72"/>
    <n v="5467.4"/>
    <n v="0.28999999999999998"/>
    <x v="3"/>
    <s v="Same Day"/>
    <n v="0"/>
    <x v="0"/>
  </r>
  <r>
    <s v="ORD20250183"/>
    <x v="54"/>
    <s v="Dec"/>
    <x v="1"/>
    <n v="2025"/>
    <x v="0"/>
    <x v="2"/>
    <x v="13"/>
    <s v="Online"/>
    <s v="Consumer"/>
    <x v="6"/>
    <x v="3"/>
    <s v="Beverages"/>
    <x v="9"/>
    <n v="16"/>
    <n v="452"/>
    <n v="0.1"/>
    <x v="182"/>
    <n v="4360.8999999999996"/>
    <n v="2147.9"/>
    <n v="0.33"/>
    <x v="1"/>
    <s v="Same Day"/>
    <n v="0"/>
    <x v="0"/>
  </r>
  <r>
    <s v="ORD20250184"/>
    <x v="71"/>
    <s v="Aug"/>
    <x v="2"/>
    <n v="2025"/>
    <x v="2"/>
    <x v="10"/>
    <x v="18"/>
    <s v="Online"/>
    <s v="Corporate"/>
    <x v="0"/>
    <x v="1"/>
    <s v="Mobile"/>
    <x v="12"/>
    <n v="5"/>
    <n v="30800"/>
    <n v="0.08"/>
    <x v="183"/>
    <n v="116177.60000000001"/>
    <n v="25502.400000000001"/>
    <n v="0.18"/>
    <x v="4"/>
    <s v="Express"/>
    <n v="3"/>
    <x v="0"/>
  </r>
  <r>
    <s v="ORD20250185"/>
    <x v="133"/>
    <s v="Jun"/>
    <x v="3"/>
    <n v="2025"/>
    <x v="3"/>
    <x v="13"/>
    <x v="21"/>
    <s v="Distributor"/>
    <s v="Consumer"/>
    <x v="5"/>
    <x v="1"/>
    <s v="Mobile"/>
    <x v="1"/>
    <n v="2"/>
    <n v="59730"/>
    <n v="0.15"/>
    <x v="184"/>
    <n v="89356.08"/>
    <n v="12184.92"/>
    <n v="0.12"/>
    <x v="3"/>
    <s v="Same Day"/>
    <n v="0"/>
    <x v="2"/>
  </r>
  <r>
    <s v="ORD20250186"/>
    <x v="134"/>
    <s v="May"/>
    <x v="3"/>
    <n v="2025"/>
    <x v="2"/>
    <x v="8"/>
    <x v="10"/>
    <s v="Distributor"/>
    <s v="Corporate"/>
    <x v="3"/>
    <x v="3"/>
    <s v="Beverages"/>
    <x v="9"/>
    <n v="19"/>
    <n v="459"/>
    <n v="0.18"/>
    <x v="185"/>
    <n v="4791.32"/>
    <n v="2359.9"/>
    <n v="0.33"/>
    <x v="3"/>
    <s v="Same Day"/>
    <n v="0"/>
    <x v="3"/>
  </r>
  <r>
    <s v="ORD20250187"/>
    <x v="135"/>
    <s v="Sep"/>
    <x v="2"/>
    <n v="2025"/>
    <x v="0"/>
    <x v="2"/>
    <x v="13"/>
    <s v="Online"/>
    <s v="Home Office"/>
    <x v="2"/>
    <x v="1"/>
    <s v="Mobile"/>
    <x v="1"/>
    <n v="1"/>
    <n v="69386"/>
    <n v="0.12"/>
    <x v="186"/>
    <n v="53732.52"/>
    <n v="7327.16"/>
    <n v="0.12"/>
    <x v="2"/>
    <s v="Same Day"/>
    <n v="0"/>
    <x v="3"/>
  </r>
  <r>
    <s v="ORD20250188"/>
    <x v="98"/>
    <s v="Dec"/>
    <x v="1"/>
    <n v="2025"/>
    <x v="3"/>
    <x v="13"/>
    <x v="21"/>
    <s v="Online"/>
    <s v="Consumer"/>
    <x v="8"/>
    <x v="2"/>
    <s v="Table"/>
    <x v="11"/>
    <n v="1"/>
    <n v="19601"/>
    <n v="0.05"/>
    <x v="187"/>
    <n v="14151.92"/>
    <n v="4469.03"/>
    <n v="0.24"/>
    <x v="1"/>
    <s v="Standard"/>
    <n v="7"/>
    <x v="2"/>
  </r>
  <r>
    <s v="ORD20250189"/>
    <x v="126"/>
    <s v="Mar"/>
    <x v="0"/>
    <n v="2025"/>
    <x v="2"/>
    <x v="10"/>
    <x v="15"/>
    <s v="Online"/>
    <s v="Corporate"/>
    <x v="4"/>
    <x v="0"/>
    <s v="Women"/>
    <x v="14"/>
    <n v="8"/>
    <n v="5628"/>
    <n v="0.06"/>
    <x v="188"/>
    <n v="26663.21"/>
    <n v="15659.35"/>
    <n v="0.37"/>
    <x v="0"/>
    <s v="Standard"/>
    <n v="4"/>
    <x v="0"/>
  </r>
  <r>
    <s v="ORD20250190"/>
    <x v="136"/>
    <s v="Jun"/>
    <x v="3"/>
    <n v="2025"/>
    <x v="0"/>
    <x v="11"/>
    <x v="16"/>
    <s v="Online"/>
    <s v="Home Office"/>
    <x v="3"/>
    <x v="1"/>
    <s v="Accessories"/>
    <x v="8"/>
    <n v="3"/>
    <n v="1965"/>
    <n v="0.13"/>
    <x v="189"/>
    <n v="3590.05"/>
    <n v="1538.6"/>
    <n v="0.3"/>
    <x v="3"/>
    <s v="Express"/>
    <n v="3"/>
    <x v="0"/>
  </r>
  <r>
    <s v="ORD20250191"/>
    <x v="137"/>
    <s v="Sep"/>
    <x v="2"/>
    <n v="2025"/>
    <x v="2"/>
    <x v="4"/>
    <x v="4"/>
    <s v="Distributor"/>
    <s v="Corporate"/>
    <x v="5"/>
    <x v="1"/>
    <s v="Mobile"/>
    <x v="12"/>
    <n v="3"/>
    <n v="31472"/>
    <n v="0.16"/>
    <x v="190"/>
    <n v="65033.74"/>
    <n v="14275.7"/>
    <n v="0.18"/>
    <x v="1"/>
    <s v="Express"/>
    <n v="2"/>
    <x v="0"/>
  </r>
  <r>
    <s v="ORD20250192"/>
    <x v="121"/>
    <s v="May"/>
    <x v="3"/>
    <n v="2025"/>
    <x v="0"/>
    <x v="11"/>
    <x v="16"/>
    <s v="Online"/>
    <s v="Corporate"/>
    <x v="1"/>
    <x v="0"/>
    <s v="Men"/>
    <x v="4"/>
    <n v="12"/>
    <n v="1812"/>
    <n v="0.13"/>
    <x v="191"/>
    <n v="10972.02"/>
    <n v="7945.26"/>
    <n v="0.42"/>
    <x v="0"/>
    <s v="Standard"/>
    <n v="7"/>
    <x v="1"/>
  </r>
  <r>
    <s v="ORD20250193"/>
    <x v="138"/>
    <s v="Jun"/>
    <x v="3"/>
    <n v="2025"/>
    <x v="0"/>
    <x v="2"/>
    <x v="13"/>
    <s v="Retail Store"/>
    <s v="Home Office"/>
    <x v="0"/>
    <x v="1"/>
    <s v="Accessories"/>
    <x v="8"/>
    <n v="6"/>
    <n v="2923"/>
    <n v="0.02"/>
    <x v="192"/>
    <n v="12031.07"/>
    <n v="5156.17"/>
    <n v="0.3"/>
    <x v="4"/>
    <s v="Standard"/>
    <n v="4"/>
    <x v="3"/>
  </r>
  <r>
    <s v="ORD20250194"/>
    <x v="122"/>
    <s v="Jul"/>
    <x v="2"/>
    <n v="2025"/>
    <x v="2"/>
    <x v="10"/>
    <x v="18"/>
    <s v="Online"/>
    <s v="Home Office"/>
    <x v="3"/>
    <x v="3"/>
    <s v="Snacks"/>
    <x v="5"/>
    <n v="30"/>
    <n v="104"/>
    <n v="0.11"/>
    <x v="193"/>
    <n v="1777.15"/>
    <n v="999.65"/>
    <n v="0.36"/>
    <x v="3"/>
    <s v="Same Day"/>
    <n v="0"/>
    <x v="1"/>
  </r>
  <r>
    <s v="ORD20250195"/>
    <x v="83"/>
    <s v="Jul"/>
    <x v="2"/>
    <n v="2025"/>
    <x v="3"/>
    <x v="12"/>
    <x v="25"/>
    <s v="Online"/>
    <s v="Corporate"/>
    <x v="4"/>
    <x v="3"/>
    <s v="Snacks"/>
    <x v="16"/>
    <n v="21"/>
    <n v="74"/>
    <n v="0.06"/>
    <x v="194"/>
    <n v="905.67"/>
    <n v="555.09"/>
    <n v="0.38"/>
    <x v="1"/>
    <s v="Standard"/>
    <n v="7"/>
    <x v="0"/>
  </r>
  <r>
    <s v="ORD20250196"/>
    <x v="139"/>
    <s v="May"/>
    <x v="3"/>
    <n v="2025"/>
    <x v="0"/>
    <x v="11"/>
    <x v="16"/>
    <s v="Online"/>
    <s v="Consumer"/>
    <x v="2"/>
    <x v="1"/>
    <s v="Laptop"/>
    <x v="2"/>
    <n v="1"/>
    <n v="54566"/>
    <n v="0.06"/>
    <x v="195"/>
    <n v="43598.23"/>
    <n v="7693.81"/>
    <n v="0.15"/>
    <x v="1"/>
    <s v="Same Day"/>
    <n v="0"/>
    <x v="3"/>
  </r>
  <r>
    <s v="ORD20250197"/>
    <x v="70"/>
    <s v="Mar"/>
    <x v="0"/>
    <n v="2025"/>
    <x v="0"/>
    <x v="0"/>
    <x v="0"/>
    <s v="Online"/>
    <s v="Home Office"/>
    <x v="4"/>
    <x v="1"/>
    <s v="Accessories"/>
    <x v="15"/>
    <n v="5"/>
    <n v="1329"/>
    <n v="0.06"/>
    <x v="196"/>
    <n v="4247.4799999999996"/>
    <n v="1998.82"/>
    <n v="0.32"/>
    <x v="1"/>
    <s v="Express"/>
    <n v="3"/>
    <x v="0"/>
  </r>
  <r>
    <s v="ORD20250198"/>
    <x v="69"/>
    <s v="Jul"/>
    <x v="2"/>
    <n v="2025"/>
    <x v="0"/>
    <x v="11"/>
    <x v="16"/>
    <s v="Retail Store"/>
    <s v="Consumer"/>
    <x v="1"/>
    <x v="0"/>
    <s v="Women"/>
    <x v="0"/>
    <n v="10"/>
    <n v="2466"/>
    <n v="0.04"/>
    <x v="197"/>
    <n v="13493.95"/>
    <n v="10179.65"/>
    <n v="0.43"/>
    <x v="4"/>
    <s v="Standard"/>
    <n v="4"/>
    <x v="3"/>
  </r>
  <r>
    <s v="ORD20250199"/>
    <x v="3"/>
    <s v="Jul"/>
    <x v="2"/>
    <n v="2025"/>
    <x v="1"/>
    <x v="6"/>
    <x v="11"/>
    <s v="Online"/>
    <s v="Consumer"/>
    <x v="3"/>
    <x v="0"/>
    <s v="Men"/>
    <x v="13"/>
    <n v="11"/>
    <n v="2686"/>
    <n v="0.14000000000000001"/>
    <x v="198"/>
    <n v="15245.74"/>
    <n v="10163.82"/>
    <n v="0.4"/>
    <x v="2"/>
    <s v="Express"/>
    <n v="3"/>
    <x v="0"/>
  </r>
  <r>
    <s v="ORD20250200"/>
    <x v="140"/>
    <s v="Oct"/>
    <x v="1"/>
    <n v="2025"/>
    <x v="0"/>
    <x v="2"/>
    <x v="2"/>
    <s v="Online"/>
    <s v="Corporate"/>
    <x v="2"/>
    <x v="1"/>
    <s v="Accessories"/>
    <x v="8"/>
    <n v="4"/>
    <n v="2735"/>
    <n v="0.08"/>
    <x v="199"/>
    <n v="7045.36"/>
    <n v="3019.44"/>
    <n v="0.3"/>
    <x v="3"/>
    <s v="Standard"/>
    <n v="4"/>
    <x v="0"/>
  </r>
  <r>
    <s v="ORD20250201"/>
    <x v="6"/>
    <s v="Jun"/>
    <x v="3"/>
    <n v="2025"/>
    <x v="0"/>
    <x v="11"/>
    <x v="16"/>
    <s v="Distributor"/>
    <s v="Consumer"/>
    <x v="8"/>
    <x v="3"/>
    <s v="Beverages"/>
    <x v="9"/>
    <n v="6"/>
    <n v="369"/>
    <n v="0.11"/>
    <x v="200"/>
    <n v="1320.21"/>
    <n v="650.25"/>
    <n v="0.33"/>
    <x v="4"/>
    <s v="Express"/>
    <n v="1"/>
    <x v="3"/>
  </r>
  <r>
    <s v="ORD20250202"/>
    <x v="7"/>
    <s v="Oct"/>
    <x v="1"/>
    <n v="2025"/>
    <x v="3"/>
    <x v="7"/>
    <x v="17"/>
    <s v="Distributor"/>
    <s v="Home Office"/>
    <x v="1"/>
    <x v="3"/>
    <s v="Beverages"/>
    <x v="6"/>
    <n v="10"/>
    <n v="401"/>
    <n v="0.14000000000000001"/>
    <x v="201"/>
    <n v="2276.08"/>
    <n v="1172.52"/>
    <n v="0.34"/>
    <x v="2"/>
    <s v="Standard"/>
    <n v="7"/>
    <x v="0"/>
  </r>
  <r>
    <s v="ORD20250203"/>
    <x v="141"/>
    <s v="Sep"/>
    <x v="2"/>
    <n v="2025"/>
    <x v="0"/>
    <x v="2"/>
    <x v="2"/>
    <s v="Online"/>
    <s v="Corporate"/>
    <x v="0"/>
    <x v="1"/>
    <s v="Laptop"/>
    <x v="2"/>
    <n v="3"/>
    <n v="60121"/>
    <n v="0.06"/>
    <x v="202"/>
    <n v="144110.04"/>
    <n v="25431.18"/>
    <n v="0.15"/>
    <x v="2"/>
    <s v="Express"/>
    <n v="1"/>
    <x v="1"/>
  </r>
  <r>
    <s v="ORD20250204"/>
    <x v="142"/>
    <s v="Jul"/>
    <x v="2"/>
    <n v="2025"/>
    <x v="3"/>
    <x v="5"/>
    <x v="5"/>
    <s v="Online"/>
    <s v="Consumer"/>
    <x v="9"/>
    <x v="3"/>
    <s v="Snacks"/>
    <x v="16"/>
    <n v="30"/>
    <n v="111"/>
    <n v="0.15"/>
    <x v="203"/>
    <n v="1754.91"/>
    <n v="1075.5899999999999"/>
    <n v="0.38"/>
    <x v="0"/>
    <s v="Express"/>
    <n v="3"/>
    <x v="0"/>
  </r>
  <r>
    <s v="ORD20250205"/>
    <x v="143"/>
    <s v="Jan"/>
    <x v="0"/>
    <n v="2025"/>
    <x v="3"/>
    <x v="13"/>
    <x v="21"/>
    <s v="Online"/>
    <s v="Consumer"/>
    <x v="1"/>
    <x v="2"/>
    <s v="Chair"/>
    <x v="10"/>
    <n v="1"/>
    <n v="10351"/>
    <n v="0.06"/>
    <x v="204"/>
    <n v="7200.16"/>
    <n v="2529.7800000000002"/>
    <n v="0.26"/>
    <x v="3"/>
    <s v="Express"/>
    <n v="2"/>
    <x v="0"/>
  </r>
  <r>
    <s v="ORD20250206"/>
    <x v="144"/>
    <s v="Apr"/>
    <x v="3"/>
    <n v="2025"/>
    <x v="0"/>
    <x v="2"/>
    <x v="13"/>
    <s v="Retail Store"/>
    <s v="Home Office"/>
    <x v="0"/>
    <x v="3"/>
    <s v="Beverages"/>
    <x v="9"/>
    <n v="11"/>
    <n v="410"/>
    <n v="0.06"/>
    <x v="205"/>
    <n v="2840.4"/>
    <n v="1399"/>
    <n v="0.33"/>
    <x v="3"/>
    <s v="Standard"/>
    <n v="3"/>
    <x v="0"/>
  </r>
  <r>
    <s v="ORD20250207"/>
    <x v="145"/>
    <s v="May"/>
    <x v="3"/>
    <n v="2025"/>
    <x v="0"/>
    <x v="0"/>
    <x v="0"/>
    <s v="Online"/>
    <s v="Home Office"/>
    <x v="3"/>
    <x v="3"/>
    <s v="Beverages"/>
    <x v="6"/>
    <n v="8"/>
    <n v="203"/>
    <n v="0.11"/>
    <x v="206"/>
    <n v="953.94"/>
    <n v="491.42"/>
    <n v="0.34"/>
    <x v="1"/>
    <s v="Same Day"/>
    <n v="0"/>
    <x v="0"/>
  </r>
  <r>
    <s v="ORD20250208"/>
    <x v="6"/>
    <s v="Jun"/>
    <x v="3"/>
    <n v="2025"/>
    <x v="3"/>
    <x v="5"/>
    <x v="5"/>
    <s v="Retail Store"/>
    <s v="Consumer"/>
    <x v="3"/>
    <x v="3"/>
    <s v="Snacks"/>
    <x v="5"/>
    <n v="8"/>
    <n v="116"/>
    <n v="0.06"/>
    <x v="207"/>
    <n v="558.28"/>
    <n v="314.04000000000002"/>
    <n v="0.36"/>
    <x v="1"/>
    <s v="Standard"/>
    <n v="5"/>
    <x v="0"/>
  </r>
  <r>
    <s v="ORD20250209"/>
    <x v="77"/>
    <s v="May"/>
    <x v="3"/>
    <n v="2025"/>
    <x v="3"/>
    <x v="13"/>
    <x v="22"/>
    <s v="Distributor"/>
    <s v="Corporate"/>
    <x v="1"/>
    <x v="1"/>
    <s v="Laptop"/>
    <x v="17"/>
    <n v="1"/>
    <n v="51699"/>
    <n v="0.12"/>
    <x v="208"/>
    <n v="38215.9"/>
    <n v="7279.22"/>
    <n v="0.16"/>
    <x v="0"/>
    <s v="Standard"/>
    <n v="4"/>
    <x v="3"/>
  </r>
  <r>
    <s v="ORD20250210"/>
    <x v="146"/>
    <s v="Jul"/>
    <x v="2"/>
    <n v="2025"/>
    <x v="2"/>
    <x v="4"/>
    <x v="14"/>
    <s v="Retail Store"/>
    <s v="Consumer"/>
    <x v="8"/>
    <x v="0"/>
    <s v="Men"/>
    <x v="13"/>
    <n v="5"/>
    <n v="2467"/>
    <n v="0.09"/>
    <x v="209"/>
    <n v="6734.91"/>
    <n v="4489.9399999999996"/>
    <n v="0.4"/>
    <x v="3"/>
    <s v="Same Day"/>
    <n v="0"/>
    <x v="0"/>
  </r>
  <r>
    <s v="ORD20250211"/>
    <x v="139"/>
    <s v="May"/>
    <x v="3"/>
    <n v="2025"/>
    <x v="1"/>
    <x v="3"/>
    <x v="3"/>
    <s v="Retail Store"/>
    <s v="Corporate"/>
    <x v="8"/>
    <x v="1"/>
    <s v="Mobile"/>
    <x v="1"/>
    <n v="3"/>
    <n v="59118"/>
    <n v="0.1"/>
    <x v="210"/>
    <n v="140464.37"/>
    <n v="19154.23"/>
    <n v="0.12"/>
    <x v="1"/>
    <s v="Standard"/>
    <n v="6"/>
    <x v="1"/>
  </r>
  <r>
    <s v="ORD20250212"/>
    <x v="31"/>
    <s v="Aug"/>
    <x v="2"/>
    <n v="2025"/>
    <x v="3"/>
    <x v="13"/>
    <x v="21"/>
    <s v="Online"/>
    <s v="Consumer"/>
    <x v="3"/>
    <x v="2"/>
    <s v="Table"/>
    <x v="3"/>
    <n v="3"/>
    <n v="10736"/>
    <n v="7.0000000000000007E-2"/>
    <x v="211"/>
    <n v="21266.94"/>
    <n v="8686.5"/>
    <n v="0.28999999999999998"/>
    <x v="4"/>
    <s v="Standard"/>
    <n v="7"/>
    <x v="0"/>
  </r>
  <r>
    <s v="ORD20250213"/>
    <x v="123"/>
    <s v="Apr"/>
    <x v="3"/>
    <n v="2025"/>
    <x v="2"/>
    <x v="8"/>
    <x v="10"/>
    <s v="Online"/>
    <s v="Home Office"/>
    <x v="3"/>
    <x v="1"/>
    <s v="Accessories"/>
    <x v="8"/>
    <n v="6"/>
    <n v="3202"/>
    <n v="0.12"/>
    <x v="212"/>
    <n v="11834.59"/>
    <n v="5071.97"/>
    <n v="0.3"/>
    <x v="3"/>
    <s v="Same Day"/>
    <n v="0"/>
    <x v="1"/>
  </r>
  <r>
    <s v="ORD20250214"/>
    <x v="100"/>
    <s v="Sep"/>
    <x v="2"/>
    <n v="2025"/>
    <x v="2"/>
    <x v="4"/>
    <x v="4"/>
    <s v="Retail Store"/>
    <s v="Corporate"/>
    <x v="9"/>
    <x v="2"/>
    <s v="Chair"/>
    <x v="10"/>
    <n v="1"/>
    <n v="8705"/>
    <n v="0.01"/>
    <x v="213"/>
    <n v="6377.28"/>
    <n v="2240.67"/>
    <n v="0.26"/>
    <x v="1"/>
    <s v="Standard"/>
    <n v="3"/>
    <x v="1"/>
  </r>
  <r>
    <s v="ORD20250215"/>
    <x v="1"/>
    <s v="Mar"/>
    <x v="0"/>
    <n v="2025"/>
    <x v="1"/>
    <x v="1"/>
    <x v="1"/>
    <s v="Distributor"/>
    <s v="Consumer"/>
    <x v="6"/>
    <x v="2"/>
    <s v="Table"/>
    <x v="11"/>
    <n v="1"/>
    <n v="22711"/>
    <n v="0.18"/>
    <x v="214"/>
    <n v="14153.5"/>
    <n v="4469.5200000000004"/>
    <n v="0.24"/>
    <x v="2"/>
    <s v="Same Day"/>
    <n v="0"/>
    <x v="0"/>
  </r>
  <r>
    <s v="ORD20250216"/>
    <x v="9"/>
    <s v="Mar"/>
    <x v="0"/>
    <n v="2025"/>
    <x v="1"/>
    <x v="9"/>
    <x v="23"/>
    <s v="Retail Store"/>
    <s v="Corporate"/>
    <x v="7"/>
    <x v="0"/>
    <s v="Women"/>
    <x v="14"/>
    <n v="3"/>
    <n v="4688"/>
    <n v="0.04"/>
    <x v="215"/>
    <n v="8505.91"/>
    <n v="4995.53"/>
    <n v="0.37"/>
    <x v="0"/>
    <s v="Same Day"/>
    <n v="0"/>
    <x v="1"/>
  </r>
  <r>
    <s v="ORD20250217"/>
    <x v="100"/>
    <s v="Sep"/>
    <x v="2"/>
    <n v="2025"/>
    <x v="2"/>
    <x v="8"/>
    <x v="10"/>
    <s v="Retail Store"/>
    <s v="Consumer"/>
    <x v="2"/>
    <x v="3"/>
    <s v="Beverages"/>
    <x v="6"/>
    <n v="23"/>
    <n v="189"/>
    <n v="0.01"/>
    <x v="216"/>
    <n v="2840.33"/>
    <n v="1463.2"/>
    <n v="0.34"/>
    <x v="3"/>
    <s v="Standard"/>
    <n v="3"/>
    <x v="0"/>
  </r>
  <r>
    <s v="ORD20250218"/>
    <x v="147"/>
    <s v="Aug"/>
    <x v="2"/>
    <n v="2025"/>
    <x v="0"/>
    <x v="0"/>
    <x v="0"/>
    <s v="Online"/>
    <s v="Home Office"/>
    <x v="7"/>
    <x v="2"/>
    <s v="Table"/>
    <x v="11"/>
    <n v="2"/>
    <n v="16258"/>
    <n v="0.09"/>
    <x v="217"/>
    <n v="22488.07"/>
    <n v="7101.49"/>
    <n v="0.24"/>
    <x v="2"/>
    <s v="Standard"/>
    <n v="3"/>
    <x v="2"/>
  </r>
  <r>
    <s v="ORD20250219"/>
    <x v="102"/>
    <s v="Aug"/>
    <x v="2"/>
    <n v="2025"/>
    <x v="2"/>
    <x v="8"/>
    <x v="10"/>
    <s v="Distributor"/>
    <s v="Consumer"/>
    <x v="0"/>
    <x v="2"/>
    <s v="Table"/>
    <x v="3"/>
    <n v="1"/>
    <n v="8175"/>
    <n v="0.09"/>
    <x v="218"/>
    <n v="5281.87"/>
    <n v="2157.38"/>
    <n v="0.28999999999999998"/>
    <x v="2"/>
    <s v="Standard"/>
    <n v="6"/>
    <x v="0"/>
  </r>
  <r>
    <s v="ORD20250220"/>
    <x v="148"/>
    <s v="Mar"/>
    <x v="0"/>
    <n v="2025"/>
    <x v="2"/>
    <x v="4"/>
    <x v="4"/>
    <s v="Online"/>
    <s v="Consumer"/>
    <x v="5"/>
    <x v="0"/>
    <s v="Women"/>
    <x v="0"/>
    <n v="10"/>
    <n v="4330"/>
    <n v="0.06"/>
    <x v="219"/>
    <n v="23200.14"/>
    <n v="17501.86"/>
    <n v="0.43"/>
    <x v="1"/>
    <s v="Standard"/>
    <n v="4"/>
    <x v="0"/>
  </r>
  <r>
    <s v="ORD20250221"/>
    <x v="106"/>
    <s v="May"/>
    <x v="3"/>
    <n v="2025"/>
    <x v="2"/>
    <x v="4"/>
    <x v="14"/>
    <s v="Online"/>
    <s v="Home Office"/>
    <x v="8"/>
    <x v="1"/>
    <s v="Mobile"/>
    <x v="1"/>
    <n v="5"/>
    <n v="60419"/>
    <n v="0.11"/>
    <x v="220"/>
    <n v="236600.8"/>
    <n v="32263.75"/>
    <n v="0.12"/>
    <x v="4"/>
    <s v="Express"/>
    <n v="1"/>
    <x v="2"/>
  </r>
  <r>
    <s v="ORD20250222"/>
    <x v="108"/>
    <s v="Oct"/>
    <x v="1"/>
    <n v="2025"/>
    <x v="0"/>
    <x v="0"/>
    <x v="0"/>
    <s v="Online"/>
    <s v="Consumer"/>
    <x v="6"/>
    <x v="0"/>
    <s v="Women"/>
    <x v="14"/>
    <n v="9"/>
    <n v="7327"/>
    <n v="0.15"/>
    <x v="221"/>
    <n v="35312.480000000003"/>
    <n v="20739.07"/>
    <n v="0.37"/>
    <x v="0"/>
    <s v="Standard"/>
    <n v="3"/>
    <x v="0"/>
  </r>
  <r>
    <s v="ORD20250223"/>
    <x v="34"/>
    <s v="Apr"/>
    <x v="3"/>
    <n v="2025"/>
    <x v="3"/>
    <x v="5"/>
    <x v="5"/>
    <s v="Online"/>
    <s v="Consumer"/>
    <x v="4"/>
    <x v="0"/>
    <s v="Women"/>
    <x v="14"/>
    <n v="4"/>
    <n v="5871"/>
    <n v="0.08"/>
    <x v="222"/>
    <n v="13611.33"/>
    <n v="7993.95"/>
    <n v="0.37"/>
    <x v="0"/>
    <s v="Express"/>
    <n v="1"/>
    <x v="0"/>
  </r>
  <r>
    <s v="ORD20250224"/>
    <x v="149"/>
    <s v="Apr"/>
    <x v="3"/>
    <n v="2025"/>
    <x v="1"/>
    <x v="1"/>
    <x v="1"/>
    <s v="Retail Store"/>
    <s v="Corporate"/>
    <x v="7"/>
    <x v="0"/>
    <s v="Men"/>
    <x v="13"/>
    <n v="4"/>
    <n v="1570"/>
    <n v="0.09"/>
    <x v="223"/>
    <n v="3428.88"/>
    <n v="2285.92"/>
    <n v="0.4"/>
    <x v="0"/>
    <s v="Express"/>
    <n v="1"/>
    <x v="0"/>
  </r>
  <r>
    <s v="ORD20250225"/>
    <x v="95"/>
    <s v="Mar"/>
    <x v="0"/>
    <n v="2025"/>
    <x v="3"/>
    <x v="12"/>
    <x v="25"/>
    <s v="Online"/>
    <s v="Home Office"/>
    <x v="1"/>
    <x v="3"/>
    <s v="Beverages"/>
    <x v="6"/>
    <n v="26"/>
    <n v="406"/>
    <n v="0.09"/>
    <x v="224"/>
    <n v="6339.93"/>
    <n v="3266.03"/>
    <n v="0.34"/>
    <x v="4"/>
    <s v="Express"/>
    <n v="2"/>
    <x v="2"/>
  </r>
  <r>
    <s v="ORD20250226"/>
    <x v="150"/>
    <s v="May"/>
    <x v="3"/>
    <n v="2025"/>
    <x v="1"/>
    <x v="1"/>
    <x v="1"/>
    <s v="Online"/>
    <s v="Corporate"/>
    <x v="5"/>
    <x v="1"/>
    <s v="Mobile"/>
    <x v="1"/>
    <n v="6"/>
    <n v="66788"/>
    <n v="0.11"/>
    <x v="225"/>
    <n v="313850.17"/>
    <n v="42797.75"/>
    <n v="0.12"/>
    <x v="3"/>
    <s v="Standard"/>
    <n v="6"/>
    <x v="0"/>
  </r>
  <r>
    <s v="ORD20250227"/>
    <x v="151"/>
    <s v="Jan"/>
    <x v="0"/>
    <n v="2025"/>
    <x v="2"/>
    <x v="10"/>
    <x v="18"/>
    <s v="Distributor"/>
    <s v="Consumer"/>
    <x v="3"/>
    <x v="2"/>
    <s v="Chair"/>
    <x v="7"/>
    <n v="1"/>
    <n v="5862"/>
    <n v="0.09"/>
    <x v="226"/>
    <n v="3840.78"/>
    <n v="1493.64"/>
    <n v="0.28000000000000003"/>
    <x v="2"/>
    <s v="Express"/>
    <n v="1"/>
    <x v="1"/>
  </r>
  <r>
    <s v="ORD20250228"/>
    <x v="112"/>
    <s v="Dec"/>
    <x v="1"/>
    <n v="2025"/>
    <x v="0"/>
    <x v="2"/>
    <x v="2"/>
    <s v="Distributor"/>
    <s v="Home Office"/>
    <x v="0"/>
    <x v="0"/>
    <s v="Men"/>
    <x v="4"/>
    <n v="2"/>
    <n v="1975"/>
    <n v="0.18"/>
    <x v="227"/>
    <n v="1878.62"/>
    <n v="1360.38"/>
    <n v="0.42"/>
    <x v="0"/>
    <s v="Express"/>
    <n v="1"/>
    <x v="3"/>
  </r>
  <r>
    <s v="ORD20250229"/>
    <x v="47"/>
    <s v="Feb"/>
    <x v="0"/>
    <n v="2025"/>
    <x v="2"/>
    <x v="8"/>
    <x v="10"/>
    <s v="Retail Store"/>
    <s v="Home Office"/>
    <x v="9"/>
    <x v="0"/>
    <s v="Men"/>
    <x v="4"/>
    <n v="4"/>
    <n v="1794"/>
    <n v="0.06"/>
    <x v="228"/>
    <n v="3912.36"/>
    <n v="2833.08"/>
    <n v="0.42"/>
    <x v="2"/>
    <s v="Same Day"/>
    <n v="0"/>
    <x v="2"/>
  </r>
  <r>
    <s v="ORD20250230"/>
    <x v="99"/>
    <s v="Sep"/>
    <x v="2"/>
    <n v="2025"/>
    <x v="2"/>
    <x v="8"/>
    <x v="10"/>
    <s v="Retail Store"/>
    <s v="Home Office"/>
    <x v="7"/>
    <x v="0"/>
    <s v="Men"/>
    <x v="13"/>
    <n v="4"/>
    <n v="2854"/>
    <n v="0.03"/>
    <x v="229"/>
    <n v="6644.11"/>
    <n v="4429.41"/>
    <n v="0.4"/>
    <x v="1"/>
    <s v="Express"/>
    <n v="2"/>
    <x v="0"/>
  </r>
  <r>
    <s v="ORD20250231"/>
    <x v="152"/>
    <s v="Jul"/>
    <x v="2"/>
    <n v="2025"/>
    <x v="2"/>
    <x v="8"/>
    <x v="10"/>
    <s v="Distributor"/>
    <s v="Home Office"/>
    <x v="9"/>
    <x v="0"/>
    <s v="Men"/>
    <x v="4"/>
    <n v="9"/>
    <n v="1378"/>
    <n v="0.14000000000000001"/>
    <x v="230"/>
    <n v="6186.12"/>
    <n v="4479.6000000000004"/>
    <n v="0.42"/>
    <x v="3"/>
    <s v="Same Day"/>
    <n v="0"/>
    <x v="0"/>
  </r>
  <r>
    <s v="ORD20250232"/>
    <x v="66"/>
    <s v="Jul"/>
    <x v="2"/>
    <n v="2025"/>
    <x v="2"/>
    <x v="8"/>
    <x v="10"/>
    <s v="Online"/>
    <s v="Corporate"/>
    <x v="5"/>
    <x v="2"/>
    <s v="Chair"/>
    <x v="7"/>
    <n v="3"/>
    <n v="8369"/>
    <n v="0.14000000000000001"/>
    <x v="231"/>
    <n v="15546.25"/>
    <n v="6045.77"/>
    <n v="0.28000000000000003"/>
    <x v="0"/>
    <s v="Standard"/>
    <n v="6"/>
    <x v="3"/>
  </r>
  <r>
    <s v="ORD20250233"/>
    <x v="140"/>
    <s v="Oct"/>
    <x v="1"/>
    <n v="2025"/>
    <x v="0"/>
    <x v="0"/>
    <x v="0"/>
    <s v="Retail Store"/>
    <s v="Home Office"/>
    <x v="6"/>
    <x v="1"/>
    <s v="Laptop"/>
    <x v="2"/>
    <n v="1"/>
    <n v="60890"/>
    <n v="0.08"/>
    <x v="232"/>
    <n v="47615.98"/>
    <n v="8402.82"/>
    <n v="0.15"/>
    <x v="4"/>
    <s v="Same Day"/>
    <n v="0"/>
    <x v="3"/>
  </r>
  <r>
    <s v="ORD20250234"/>
    <x v="153"/>
    <s v="May"/>
    <x v="3"/>
    <n v="2025"/>
    <x v="0"/>
    <x v="0"/>
    <x v="0"/>
    <s v="Distributor"/>
    <s v="Consumer"/>
    <x v="5"/>
    <x v="1"/>
    <s v="Laptop"/>
    <x v="2"/>
    <n v="6"/>
    <n v="57890"/>
    <n v="0.14000000000000001"/>
    <x v="233"/>
    <n v="253905.54"/>
    <n v="44806.86"/>
    <n v="0.15"/>
    <x v="4"/>
    <s v="Standard"/>
    <n v="3"/>
    <x v="0"/>
  </r>
  <r>
    <s v="ORD20250235"/>
    <x v="17"/>
    <s v="Apr"/>
    <x v="3"/>
    <n v="2025"/>
    <x v="3"/>
    <x v="7"/>
    <x v="17"/>
    <s v="Distributor"/>
    <s v="Corporate"/>
    <x v="1"/>
    <x v="1"/>
    <s v="Accessories"/>
    <x v="15"/>
    <n v="4"/>
    <n v="1048"/>
    <n v="0.1"/>
    <x v="234"/>
    <n v="2565.5"/>
    <n v="1207.3"/>
    <n v="0.32"/>
    <x v="3"/>
    <s v="Express"/>
    <n v="2"/>
    <x v="0"/>
  </r>
  <r>
    <s v="ORD20250236"/>
    <x v="154"/>
    <s v="Apr"/>
    <x v="3"/>
    <n v="2025"/>
    <x v="3"/>
    <x v="12"/>
    <x v="25"/>
    <s v="Retail Store"/>
    <s v="Home Office"/>
    <x v="7"/>
    <x v="2"/>
    <s v="Chair"/>
    <x v="7"/>
    <n v="3"/>
    <n v="8228"/>
    <n v="0.08"/>
    <x v="235"/>
    <n v="16350.68"/>
    <n v="6358.6"/>
    <n v="0.28000000000000003"/>
    <x v="2"/>
    <s v="Standard"/>
    <n v="3"/>
    <x v="0"/>
  </r>
  <r>
    <s v="ORD20250237"/>
    <x v="155"/>
    <s v="Dec"/>
    <x v="1"/>
    <n v="2025"/>
    <x v="2"/>
    <x v="8"/>
    <x v="10"/>
    <s v="Retail Store"/>
    <s v="Consumer"/>
    <x v="4"/>
    <x v="0"/>
    <s v="Men"/>
    <x v="4"/>
    <n v="5"/>
    <n v="2119"/>
    <n v="0.05"/>
    <x v="236"/>
    <n v="5837.84"/>
    <n v="4227.41"/>
    <n v="0.42"/>
    <x v="0"/>
    <s v="Express"/>
    <n v="1"/>
    <x v="2"/>
  </r>
  <r>
    <s v="ORD20250238"/>
    <x v="119"/>
    <s v="Apr"/>
    <x v="3"/>
    <n v="2025"/>
    <x v="0"/>
    <x v="11"/>
    <x v="16"/>
    <s v="Online"/>
    <s v="Corporate"/>
    <x v="1"/>
    <x v="2"/>
    <s v="Table"/>
    <x v="3"/>
    <n v="3"/>
    <n v="5161"/>
    <n v="0.05"/>
    <x v="237"/>
    <n v="10443.280000000001"/>
    <n v="4265.57"/>
    <n v="0.28999999999999998"/>
    <x v="3"/>
    <s v="Express"/>
    <n v="2"/>
    <x v="0"/>
  </r>
  <r>
    <s v="ORD20250239"/>
    <x v="146"/>
    <s v="Jul"/>
    <x v="2"/>
    <n v="2025"/>
    <x v="3"/>
    <x v="5"/>
    <x v="5"/>
    <s v="Retail Store"/>
    <s v="Corporate"/>
    <x v="5"/>
    <x v="1"/>
    <s v="Mobile"/>
    <x v="12"/>
    <n v="6"/>
    <n v="30019"/>
    <n v="0.05"/>
    <x v="238"/>
    <n v="140308.81"/>
    <n v="30799.49"/>
    <n v="0.18"/>
    <x v="3"/>
    <s v="Same Day"/>
    <n v="0"/>
    <x v="0"/>
  </r>
  <r>
    <s v="ORD20250240"/>
    <x v="66"/>
    <s v="Jul"/>
    <x v="2"/>
    <n v="2025"/>
    <x v="0"/>
    <x v="2"/>
    <x v="13"/>
    <s v="Distributor"/>
    <s v="Corporate"/>
    <x v="3"/>
    <x v="0"/>
    <s v="Men"/>
    <x v="13"/>
    <n v="5"/>
    <n v="2944"/>
    <n v="0.18"/>
    <x v="239"/>
    <n v="7242.24"/>
    <n v="4828.16"/>
    <n v="0.4"/>
    <x v="0"/>
    <s v="Standard"/>
    <n v="4"/>
    <x v="3"/>
  </r>
  <r>
    <s v="ORD20250241"/>
    <x v="29"/>
    <s v="Jun"/>
    <x v="3"/>
    <n v="2025"/>
    <x v="0"/>
    <x v="2"/>
    <x v="13"/>
    <s v="Retail Store"/>
    <s v="Consumer"/>
    <x v="1"/>
    <x v="3"/>
    <s v="Snacks"/>
    <x v="16"/>
    <n v="15"/>
    <n v="68"/>
    <n v="7.0000000000000007E-2"/>
    <x v="240"/>
    <n v="588.13"/>
    <n v="360.47"/>
    <n v="0.38"/>
    <x v="3"/>
    <s v="Same Day"/>
    <n v="0"/>
    <x v="1"/>
  </r>
  <r>
    <s v="ORD20250242"/>
    <x v="156"/>
    <s v="Aug"/>
    <x v="2"/>
    <n v="2025"/>
    <x v="1"/>
    <x v="9"/>
    <x v="12"/>
    <s v="Retail Store"/>
    <s v="Corporate"/>
    <x v="7"/>
    <x v="0"/>
    <s v="Women"/>
    <x v="0"/>
    <n v="11"/>
    <n v="4309"/>
    <n v="0.1"/>
    <x v="241"/>
    <n v="24315.69"/>
    <n v="18343.41"/>
    <n v="0.43"/>
    <x v="3"/>
    <s v="Express"/>
    <n v="2"/>
    <x v="0"/>
  </r>
  <r>
    <s v="ORD20250243"/>
    <x v="149"/>
    <s v="Apr"/>
    <x v="3"/>
    <n v="2025"/>
    <x v="3"/>
    <x v="12"/>
    <x v="25"/>
    <s v="Online"/>
    <s v="Consumer"/>
    <x v="7"/>
    <x v="2"/>
    <s v="Chair"/>
    <x v="7"/>
    <n v="1"/>
    <n v="6142"/>
    <n v="0.09"/>
    <x v="242"/>
    <n v="4024.24"/>
    <n v="1564.98"/>
    <n v="0.28000000000000003"/>
    <x v="1"/>
    <s v="Express"/>
    <n v="2"/>
    <x v="1"/>
  </r>
  <r>
    <s v="ORD20250244"/>
    <x v="157"/>
    <s v="Aug"/>
    <x v="2"/>
    <n v="2025"/>
    <x v="3"/>
    <x v="13"/>
    <x v="21"/>
    <s v="Online"/>
    <s v="Consumer"/>
    <x v="3"/>
    <x v="3"/>
    <s v="Beverages"/>
    <x v="6"/>
    <n v="20"/>
    <n v="217"/>
    <n v="0.05"/>
    <x v="243"/>
    <n v="2721.18"/>
    <n v="1401.82"/>
    <n v="0.34"/>
    <x v="0"/>
    <s v="Standard"/>
    <n v="5"/>
    <x v="0"/>
  </r>
  <r>
    <s v="ORD20250245"/>
    <x v="50"/>
    <s v="Apr"/>
    <x v="3"/>
    <n v="2025"/>
    <x v="1"/>
    <x v="1"/>
    <x v="1"/>
    <s v="Online"/>
    <s v="Corporate"/>
    <x v="5"/>
    <x v="1"/>
    <s v="Mobile"/>
    <x v="12"/>
    <n v="3"/>
    <n v="28612"/>
    <n v="0.14000000000000001"/>
    <x v="244"/>
    <n v="60531.55"/>
    <n v="13287.41"/>
    <n v="0.18"/>
    <x v="2"/>
    <s v="Same Day"/>
    <n v="0"/>
    <x v="3"/>
  </r>
  <r>
    <s v="ORD20250246"/>
    <x v="158"/>
    <s v="Aug"/>
    <x v="2"/>
    <n v="2025"/>
    <x v="1"/>
    <x v="3"/>
    <x v="3"/>
    <s v="Retail Store"/>
    <s v="Consumer"/>
    <x v="1"/>
    <x v="0"/>
    <s v="Women"/>
    <x v="14"/>
    <n v="11"/>
    <n v="8163"/>
    <n v="7.0000000000000007E-2"/>
    <x v="245"/>
    <n v="52609.72"/>
    <n v="30897.77"/>
    <n v="0.37"/>
    <x v="0"/>
    <s v="Express"/>
    <n v="3"/>
    <x v="0"/>
  </r>
  <r>
    <s v="ORD20250247"/>
    <x v="74"/>
    <s v="Apr"/>
    <x v="3"/>
    <n v="2025"/>
    <x v="2"/>
    <x v="10"/>
    <x v="15"/>
    <s v="Retail Store"/>
    <s v="Home Office"/>
    <x v="5"/>
    <x v="1"/>
    <s v="Mobile"/>
    <x v="1"/>
    <n v="5"/>
    <n v="70152"/>
    <n v="0.08"/>
    <x v="246"/>
    <n v="283975.3"/>
    <n v="38723.9"/>
    <n v="0.12"/>
    <x v="3"/>
    <s v="Standard"/>
    <n v="5"/>
    <x v="0"/>
  </r>
  <r>
    <s v="ORD20250248"/>
    <x v="139"/>
    <s v="May"/>
    <x v="3"/>
    <n v="2025"/>
    <x v="2"/>
    <x v="4"/>
    <x v="9"/>
    <s v="Retail Store"/>
    <s v="Consumer"/>
    <x v="2"/>
    <x v="1"/>
    <s v="Laptop"/>
    <x v="17"/>
    <n v="1"/>
    <n v="56388"/>
    <n v="0.09"/>
    <x v="247"/>
    <n v="43102.99"/>
    <n v="8210.09"/>
    <n v="0.16"/>
    <x v="4"/>
    <s v="Standard"/>
    <n v="6"/>
    <x v="1"/>
  </r>
  <r>
    <s v="ORD20250249"/>
    <x v="32"/>
    <s v="Dec"/>
    <x v="1"/>
    <n v="2025"/>
    <x v="0"/>
    <x v="0"/>
    <x v="0"/>
    <s v="Retail Store"/>
    <s v="Home Office"/>
    <x v="5"/>
    <x v="1"/>
    <s v="Accessories"/>
    <x v="15"/>
    <n v="3"/>
    <n v="1521"/>
    <n v="0.02"/>
    <x v="248"/>
    <n v="3040.78"/>
    <n v="1430.96"/>
    <n v="0.32"/>
    <x v="4"/>
    <s v="Express"/>
    <n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20250001"/>
    <s v="2025-03-20"/>
    <s v="Mar"/>
    <s v="Q1"/>
    <n v="2025"/>
    <s v="East"/>
    <s v="Odisha"/>
    <s v="Bhubaneswar"/>
    <s v="Distributor"/>
    <s v="Consumer"/>
    <s v="Neha Verma"/>
    <s v="Clothing"/>
    <s v="Women"/>
    <s v="Western Dress"/>
    <n v="7"/>
    <n v="1900"/>
    <n v="0.08"/>
    <n v="12236"/>
    <n v="6974.52"/>
    <x v="0"/>
    <n v="0.43"/>
    <x v="0"/>
    <s v="Standard"/>
    <n v="7"/>
    <x v="0"/>
  </r>
  <r>
    <s v="ORD20250002"/>
    <s v="2025-03-11"/>
    <s v="Mar"/>
    <s v="Q1"/>
    <n v="2025"/>
    <s v="North"/>
    <s v="Rajasthan"/>
    <s v="Udaipur"/>
    <s v="Retail Store"/>
    <s v="Home Office"/>
    <s v="Amit Sharma"/>
    <s v="Electronics"/>
    <s v="Mobile"/>
    <s v="iPhone 14"/>
    <n v="4"/>
    <n v="64510"/>
    <n v="0.1"/>
    <n v="232236"/>
    <n v="204367.68"/>
    <x v="1"/>
    <n v="0.12"/>
    <x v="1"/>
    <s v="Express"/>
    <n v="3"/>
    <x v="0"/>
  </r>
  <r>
    <s v="ORD20250003"/>
    <s v="2025-12-02"/>
    <s v="Dec"/>
    <s v="Q4"/>
    <n v="2025"/>
    <s v="East"/>
    <s v="West Bengal"/>
    <s v="Kolkata"/>
    <s v="Distributor"/>
    <s v="Corporate"/>
    <s v="Sandeep Rao"/>
    <s v="Electronics"/>
    <s v="Laptop"/>
    <s v="HP Pavilion"/>
    <n v="2"/>
    <n v="59406"/>
    <n v="0.12"/>
    <n v="104554.56"/>
    <n v="88871.38"/>
    <x v="2"/>
    <n v="0.15"/>
    <x v="2"/>
    <s v="Standard"/>
    <n v="5"/>
    <x v="0"/>
  </r>
  <r>
    <s v="ORD20250004"/>
    <s v="2025-07-06"/>
    <s v="Jul"/>
    <s v="Q3"/>
    <n v="2025"/>
    <s v="North"/>
    <s v="Delhi"/>
    <s v="New Delhi"/>
    <s v="Retail Store"/>
    <s v="Consumer"/>
    <s v="Rohit Jain"/>
    <s v="Furniture"/>
    <s v="Table"/>
    <s v="Study Table"/>
    <n v="1"/>
    <n v="6477"/>
    <n v="0"/>
    <n v="6477"/>
    <n v="4598.67"/>
    <x v="3"/>
    <n v="0.28999999999999998"/>
    <x v="3"/>
    <s v="Express"/>
    <n v="3"/>
    <x v="0"/>
  </r>
  <r>
    <s v="ORD20250005"/>
    <s v="2025-12-02"/>
    <s v="Dec"/>
    <s v="Q4"/>
    <n v="2025"/>
    <s v="North"/>
    <s v="Delhi"/>
    <s v="New Delhi"/>
    <s v="Retail Store"/>
    <s v="Home Office"/>
    <s v="Sandeep Rao"/>
    <s v="Clothing"/>
    <s v="Men"/>
    <s v="Formal Shirt"/>
    <n v="5"/>
    <n v="2029"/>
    <n v="0.04"/>
    <n v="9739.2000000000007"/>
    <n v="5648.74"/>
    <x v="4"/>
    <n v="0.42"/>
    <x v="0"/>
    <s v="Standard"/>
    <n v="6"/>
    <x v="0"/>
  </r>
  <r>
    <s v="ORD20250006"/>
    <s v="2025-02-04"/>
    <s v="Feb"/>
    <s v="Q1"/>
    <n v="2025"/>
    <s v="North"/>
    <s v="Delhi"/>
    <s v="New Delhi"/>
    <s v="Retail Store"/>
    <s v="Home Office"/>
    <s v="Arjun Patel"/>
    <s v="Clothing"/>
    <s v="Men"/>
    <s v="Formal Shirt"/>
    <n v="2"/>
    <n v="1059"/>
    <n v="0.05"/>
    <n v="2012.1"/>
    <n v="1167.02"/>
    <x v="5"/>
    <n v="0.42"/>
    <x v="1"/>
    <s v="Same Day"/>
    <n v="0"/>
    <x v="1"/>
  </r>
  <r>
    <s v="ORD20250007"/>
    <s v="2025-12-22"/>
    <s v="Dec"/>
    <s v="Q4"/>
    <n v="2025"/>
    <s v="West"/>
    <s v="Maharashtra"/>
    <s v="Pune"/>
    <s v="Online"/>
    <s v="Consumer"/>
    <s v="Pooja Singh"/>
    <s v="Clothing"/>
    <s v="Men"/>
    <s v="Formal Shirt"/>
    <n v="12"/>
    <n v="1594"/>
    <n v="0.13"/>
    <n v="16641.36"/>
    <n v="9651.99"/>
    <x v="6"/>
    <n v="0.42"/>
    <x v="0"/>
    <s v="Same Day"/>
    <n v="0"/>
    <x v="1"/>
  </r>
  <r>
    <s v="ORD20250008"/>
    <s v="2025-06-22"/>
    <s v="Jun"/>
    <s v="Q2"/>
    <n v="2025"/>
    <s v="South"/>
    <s v="Telangana"/>
    <s v="Hyderabad"/>
    <s v="Retail Store"/>
    <s v="Consumer"/>
    <s v="Rohit Jain"/>
    <s v="Grocery"/>
    <s v="Snacks"/>
    <s v="Potato Chips Combo"/>
    <n v="9"/>
    <n v="148"/>
    <n v="0.02"/>
    <n v="1305.3599999999999"/>
    <n v="835.43"/>
    <x v="7"/>
    <n v="0.36"/>
    <x v="4"/>
    <s v="Same Day"/>
    <n v="0"/>
    <x v="2"/>
  </r>
  <r>
    <s v="ORD20250009"/>
    <s v="2025-10-03"/>
    <s v="Oct"/>
    <s v="Q4"/>
    <n v="2025"/>
    <s v="North"/>
    <s v="Punjab"/>
    <s v="Ludhiana"/>
    <s v="Retail Store"/>
    <s v="Corporate"/>
    <s v="Pooja Singh"/>
    <s v="Electronics"/>
    <s v="Mobile"/>
    <s v="iPhone 14"/>
    <n v="6"/>
    <n v="63087"/>
    <n v="0.03"/>
    <n v="367166.34"/>
    <n v="323106.38"/>
    <x v="8"/>
    <n v="0.12"/>
    <x v="1"/>
    <s v="Standard"/>
    <n v="4"/>
    <x v="1"/>
  </r>
  <r>
    <s v="ORD20250010"/>
    <s v="2025-10-03"/>
    <s v="Oct"/>
    <s v="Q4"/>
    <n v="2025"/>
    <s v="East"/>
    <s v="West Bengal"/>
    <s v="Kolkata"/>
    <s v="Distributor"/>
    <s v="Consumer"/>
    <s v="Pooja Singh"/>
    <s v="Grocery"/>
    <s v="Beverages"/>
    <s v="Premium Tea Pack"/>
    <n v="27"/>
    <n v="239"/>
    <n v="0.18"/>
    <n v="5291.46"/>
    <n v="3492.36"/>
    <x v="9"/>
    <n v="0.34"/>
    <x v="0"/>
    <s v="Standard"/>
    <n v="6"/>
    <x v="0"/>
  </r>
  <r>
    <s v="ORD20250011"/>
    <s v="2025-04-30"/>
    <s v="May"/>
    <s v="Q2"/>
    <n v="2025"/>
    <s v="South"/>
    <s v="Karnataka"/>
    <s v="Bengaluru"/>
    <s v="Distributor"/>
    <s v="Home Office"/>
    <s v="Rahul Mehta"/>
    <s v="Furniture"/>
    <s v="Chair"/>
    <s v="Office Chair"/>
    <n v="2"/>
    <n v="7251"/>
    <n v="0.08"/>
    <n v="13341.84"/>
    <n v="9606.1200000000008"/>
    <x v="10"/>
    <n v="0.28000000000000003"/>
    <x v="0"/>
    <s v="Same Day"/>
    <n v="0"/>
    <x v="3"/>
  </r>
  <r>
    <s v="ORD20250012"/>
    <s v="2025-03-01"/>
    <s v="Mar"/>
    <s v="Q1"/>
    <n v="2025"/>
    <s v="East"/>
    <s v="Odisha"/>
    <s v="Cuttack"/>
    <s v="Online"/>
    <s v="Consumer"/>
    <s v="Neha Verma"/>
    <s v="Electronics"/>
    <s v="Accessories"/>
    <s v="Mechanical Keyboard"/>
    <n v="6"/>
    <n v="2301"/>
    <n v="0.06"/>
    <n v="12977.64"/>
    <n v="9084.35"/>
    <x v="11"/>
    <n v="0.3"/>
    <x v="2"/>
    <s v="Same Day"/>
    <n v="0"/>
    <x v="0"/>
  </r>
  <r>
    <s v="ORD20250013"/>
    <s v="2025-07-13"/>
    <s v="Jul"/>
    <s v="Q3"/>
    <n v="2025"/>
    <s v="South"/>
    <s v="Telangana"/>
    <s v="Hyderabad"/>
    <s v="Distributor"/>
    <s v="Consumer"/>
    <s v="Kavya Iyer"/>
    <s v="Grocery"/>
    <s v="Beverages"/>
    <s v="Instant Coffee Jar"/>
    <n v="10"/>
    <n v="361"/>
    <n v="0.16"/>
    <n v="3032.4"/>
    <n v="2031.71"/>
    <x v="12"/>
    <n v="0.33"/>
    <x v="3"/>
    <s v="Express"/>
    <n v="3"/>
    <x v="2"/>
  </r>
  <r>
    <s v="ORD20250014"/>
    <s v="2025-11-02"/>
    <s v="Nov"/>
    <s v="Q4"/>
    <n v="2025"/>
    <s v="South"/>
    <s v="Telangana"/>
    <s v="Hyderabad"/>
    <s v="Online"/>
    <s v="Home Office"/>
    <s v="Rohit Jain"/>
    <s v="Furniture"/>
    <s v="Chair"/>
    <s v="Gaming Chair"/>
    <n v="3"/>
    <n v="10256"/>
    <n v="0.1"/>
    <n v="27691.200000000001"/>
    <n v="20491.490000000002"/>
    <x v="13"/>
    <n v="0.26"/>
    <x v="0"/>
    <s v="Same Day"/>
    <n v="0"/>
    <x v="0"/>
  </r>
  <r>
    <s v="ORD20250015"/>
    <s v="2025-03-21"/>
    <s v="Mar"/>
    <s v="Q1"/>
    <n v="2025"/>
    <s v="South"/>
    <s v="Telangana"/>
    <s v="Hyderabad"/>
    <s v="Retail Store"/>
    <s v="Consumer"/>
    <s v="Kavya Iyer"/>
    <s v="Furniture"/>
    <s v="Table"/>
    <s v="Dining Table"/>
    <n v="1"/>
    <n v="18574"/>
    <n v="0.09"/>
    <n v="16902.34"/>
    <n v="12845.78"/>
    <x v="14"/>
    <n v="0.24"/>
    <x v="4"/>
    <s v="Express"/>
    <n v="1"/>
    <x v="3"/>
  </r>
  <r>
    <s v="ORD20250016"/>
    <s v="2025-02-16"/>
    <s v="Feb"/>
    <s v="Q1"/>
    <n v="2025"/>
    <s v="West"/>
    <s v="Maharashtra"/>
    <s v="Mumbai"/>
    <s v="Distributor"/>
    <s v="Corporate"/>
    <s v="Simran Kaur"/>
    <s v="Electronics"/>
    <s v="Mobile"/>
    <s v="Samsung Galaxy A54"/>
    <n v="6"/>
    <n v="22878"/>
    <n v="0.14000000000000001"/>
    <n v="118050.48"/>
    <n v="96801.39"/>
    <x v="15"/>
    <n v="0.18"/>
    <x v="0"/>
    <s v="Express"/>
    <n v="2"/>
    <x v="2"/>
  </r>
  <r>
    <s v="ORD20250017"/>
    <s v="2025-02-07"/>
    <s v="Feb"/>
    <s v="Q1"/>
    <n v="2025"/>
    <s v="West"/>
    <s v="Goa"/>
    <s v="Panaji"/>
    <s v="Retail Store"/>
    <s v="Home Office"/>
    <s v="Rahul Mehta"/>
    <s v="Clothing"/>
    <s v="Men"/>
    <s v="Denim Jeans"/>
    <n v="10"/>
    <n v="2109"/>
    <n v="0.01"/>
    <n v="20879.099999999999"/>
    <n v="12527.46"/>
    <x v="16"/>
    <n v="0.4"/>
    <x v="1"/>
    <s v="Express"/>
    <n v="2"/>
    <x v="0"/>
  </r>
  <r>
    <s v="ORD20250018"/>
    <s v="2025-09-23"/>
    <s v="Sep"/>
    <s v="Q3"/>
    <n v="2025"/>
    <s v="North"/>
    <s v="Delhi"/>
    <s v="New Delhi"/>
    <s v="Distributor"/>
    <s v="Consumer"/>
    <s v="Amit Sharma"/>
    <s v="Clothing"/>
    <s v="Women"/>
    <s v="Western Dress"/>
    <n v="2"/>
    <n v="3189"/>
    <n v="0.14000000000000001"/>
    <n v="5485.08"/>
    <n v="3126.5"/>
    <x v="17"/>
    <n v="0.43"/>
    <x v="2"/>
    <s v="Express"/>
    <n v="1"/>
    <x v="0"/>
  </r>
  <r>
    <s v="ORD20250019"/>
    <s v="2025-06-06"/>
    <s v="Jun"/>
    <s v="Q2"/>
    <n v="2025"/>
    <s v="East"/>
    <s v="Odisha"/>
    <s v="Bhubaneswar"/>
    <s v="Distributor"/>
    <s v="Consumer"/>
    <s v="Priya Nair"/>
    <s v="Furniture"/>
    <s v="Table"/>
    <s v="Dining Table"/>
    <n v="2"/>
    <n v="22990"/>
    <n v="0.09"/>
    <n v="41841.800000000003"/>
    <n v="31799.77"/>
    <x v="18"/>
    <n v="0.24"/>
    <x v="0"/>
    <s v="Same Day"/>
    <n v="0"/>
    <x v="0"/>
  </r>
  <r>
    <s v="ORD20250020"/>
    <s v="2025-04-19"/>
    <s v="Apr"/>
    <s v="Q2"/>
    <n v="2025"/>
    <s v="North"/>
    <s v="Punjab"/>
    <s v="Amritsar"/>
    <s v="Online"/>
    <s v="Consumer"/>
    <s v="Simran Kaur"/>
    <s v="Clothing"/>
    <s v="Men"/>
    <s v="Denim Jeans"/>
    <n v="9"/>
    <n v="2013"/>
    <n v="0.13"/>
    <n v="15761.79"/>
    <n v="9457.07"/>
    <x v="19"/>
    <n v="0.4"/>
    <x v="3"/>
    <s v="Express"/>
    <n v="2"/>
    <x v="2"/>
  </r>
  <r>
    <s v="ORD20250021"/>
    <s v="2025-12-20"/>
    <s v="Dec"/>
    <s v="Q4"/>
    <n v="2025"/>
    <s v="North"/>
    <s v="Uttar Pradesh"/>
    <s v="Kanpur"/>
    <s v="Retail Store"/>
    <s v="Corporate"/>
    <s v="Kavya Iyer"/>
    <s v="Furniture"/>
    <s v="Table"/>
    <s v="Study Table"/>
    <n v="1"/>
    <n v="6658"/>
    <n v="7.0000000000000007E-2"/>
    <n v="6191.94"/>
    <n v="4396.28"/>
    <x v="20"/>
    <n v="0.28999999999999998"/>
    <x v="4"/>
    <s v="Same Day"/>
    <n v="0"/>
    <x v="0"/>
  </r>
  <r>
    <s v="ORD20250022"/>
    <s v="2025-04-01"/>
    <s v="Apr"/>
    <s v="Q2"/>
    <n v="2025"/>
    <s v="North"/>
    <s v="Uttar Pradesh"/>
    <s v="Kanpur"/>
    <s v="Retail Store"/>
    <s v="Corporate"/>
    <s v="Neha Verma"/>
    <s v="Grocery"/>
    <s v="Snacks"/>
    <s v="Potato Chips Combo"/>
    <n v="11"/>
    <n v="82"/>
    <n v="0.08"/>
    <n v="829.84"/>
    <n v="531.1"/>
    <x v="21"/>
    <n v="0.36"/>
    <x v="1"/>
    <s v="Express"/>
    <n v="2"/>
    <x v="0"/>
  </r>
  <r>
    <s v="ORD20250023"/>
    <s v="2025-02-25"/>
    <s v="Feb"/>
    <s v="Q1"/>
    <n v="2025"/>
    <s v="East"/>
    <s v="Odisha"/>
    <s v="Bhubaneswar"/>
    <s v="Retail Store"/>
    <s v="Consumer"/>
    <s v="Sandeep Rao"/>
    <s v="Electronics"/>
    <s v="Mobile"/>
    <s v="iPhone 14"/>
    <n v="1"/>
    <n v="70297"/>
    <n v="7.0000000000000007E-2"/>
    <n v="65376.21"/>
    <n v="57531.06"/>
    <x v="22"/>
    <n v="0.12"/>
    <x v="2"/>
    <s v="Same Day"/>
    <n v="0"/>
    <x v="0"/>
  </r>
  <r>
    <s v="ORD20250024"/>
    <s v="2025-11-03"/>
    <s v="Nov"/>
    <s v="Q4"/>
    <n v="2025"/>
    <s v="East"/>
    <s v="West Bengal"/>
    <s v="Siliguri"/>
    <s v="Online"/>
    <s v="Consumer"/>
    <s v="Sandeep Rao"/>
    <s v="Clothing"/>
    <s v="Women"/>
    <s v="Western Dress"/>
    <n v="8"/>
    <n v="2005"/>
    <n v="7.0000000000000007E-2"/>
    <n v="14917.2"/>
    <n v="8502.7999999999993"/>
    <x v="23"/>
    <n v="0.43"/>
    <x v="3"/>
    <s v="Same Day"/>
    <n v="0"/>
    <x v="2"/>
  </r>
  <r>
    <s v="ORD20250025"/>
    <s v="2025-11-18"/>
    <s v="Nov"/>
    <s v="Q4"/>
    <n v="2025"/>
    <s v="West"/>
    <s v="Goa"/>
    <s v="Panaji"/>
    <s v="Online"/>
    <s v="Consumer"/>
    <s v="Neha Verma"/>
    <s v="Furniture"/>
    <s v="Table"/>
    <s v="Dining Table"/>
    <n v="1"/>
    <n v="21134"/>
    <n v="0.08"/>
    <n v="19443.28"/>
    <n v="14776.89"/>
    <x v="24"/>
    <n v="0.24"/>
    <x v="1"/>
    <s v="Standard"/>
    <n v="3"/>
    <x v="3"/>
  </r>
  <r>
    <s v="ORD20250026"/>
    <s v="2025-12-02"/>
    <s v="Dec"/>
    <s v="Q4"/>
    <n v="2025"/>
    <s v="West"/>
    <s v="Maharashtra"/>
    <s v="Nagpur"/>
    <s v="Distributor"/>
    <s v="Corporate"/>
    <s v="Rohit Jain"/>
    <s v="Furniture"/>
    <s v="Table"/>
    <s v="Study Table"/>
    <n v="1"/>
    <n v="6196"/>
    <n v="0.15"/>
    <n v="5266.6"/>
    <n v="3739.29"/>
    <x v="25"/>
    <n v="0.28999999999999998"/>
    <x v="1"/>
    <s v="Standard"/>
    <n v="3"/>
    <x v="0"/>
  </r>
  <r>
    <s v="ORD20250027"/>
    <s v="2025-02-01"/>
    <s v="Feb"/>
    <s v="Q1"/>
    <n v="2025"/>
    <s v="West"/>
    <s v="Gujarat"/>
    <s v="Surat"/>
    <s v="Online"/>
    <s v="Consumer"/>
    <s v="Simran Kaur"/>
    <s v="Clothing"/>
    <s v="Women"/>
    <s v="Silk Saree"/>
    <n v="2"/>
    <n v="7003"/>
    <n v="0.14000000000000001"/>
    <n v="12045.16"/>
    <n v="7588.45"/>
    <x v="26"/>
    <n v="0.37"/>
    <x v="3"/>
    <s v="Standard"/>
    <n v="3"/>
    <x v="1"/>
  </r>
  <r>
    <s v="ORD20250028"/>
    <s v="2025-04-03"/>
    <s v="Apr"/>
    <s v="Q2"/>
    <n v="2025"/>
    <s v="East"/>
    <s v="Bihar"/>
    <s v="Patna"/>
    <s v="Online"/>
    <s v="Corporate"/>
    <s v="Rahul Mehta"/>
    <s v="Electronics"/>
    <s v="Mobile"/>
    <s v="Samsung Galaxy A54"/>
    <n v="3"/>
    <n v="22366"/>
    <n v="7.0000000000000007E-2"/>
    <n v="62401.14"/>
    <n v="51168.93"/>
    <x v="27"/>
    <n v="0.18"/>
    <x v="2"/>
    <s v="Express"/>
    <n v="3"/>
    <x v="1"/>
  </r>
  <r>
    <s v="ORD20250029"/>
    <s v="2025-01-22"/>
    <s v="Jan"/>
    <s v="Q1"/>
    <n v="2025"/>
    <s v="West"/>
    <s v="Goa"/>
    <s v="Panaji"/>
    <s v="Online"/>
    <s v="Corporate"/>
    <s v="Neha Verma"/>
    <s v="Electronics"/>
    <s v="Laptop"/>
    <s v="HP Pavilion"/>
    <n v="1"/>
    <n v="64519"/>
    <n v="0.12"/>
    <n v="56776.72"/>
    <n v="48260.21"/>
    <x v="28"/>
    <n v="0.15"/>
    <x v="3"/>
    <s v="Express"/>
    <n v="3"/>
    <x v="0"/>
  </r>
  <r>
    <s v="ORD20250030"/>
    <s v="2025-06-10"/>
    <s v="Jun"/>
    <s v="Q2"/>
    <n v="2025"/>
    <s v="North"/>
    <s v="Punjab"/>
    <s v="Amritsar"/>
    <s v="Retail Store"/>
    <s v="Corporate"/>
    <s v="Rohit Jain"/>
    <s v="Clothing"/>
    <s v="Women"/>
    <s v="Silk Saree"/>
    <n v="2"/>
    <n v="7882"/>
    <n v="0.06"/>
    <n v="14818.16"/>
    <n v="9335.44"/>
    <x v="29"/>
    <n v="0.37"/>
    <x v="0"/>
    <s v="Same Day"/>
    <n v="0"/>
    <x v="2"/>
  </r>
  <r>
    <s v="ORD20250031"/>
    <s v="2025-04-01"/>
    <s v="Apr"/>
    <s v="Q2"/>
    <n v="2025"/>
    <s v="South"/>
    <s v="Karnataka"/>
    <s v="Mysuru"/>
    <s v="Distributor"/>
    <s v="Corporate"/>
    <s v="Arjun Patel"/>
    <s v="Electronics"/>
    <s v="Mobile"/>
    <s v="Samsung Galaxy A54"/>
    <n v="4"/>
    <n v="23806"/>
    <n v="0.16"/>
    <n v="79988.160000000003"/>
    <n v="65590.289999999994"/>
    <x v="30"/>
    <n v="0.18"/>
    <x v="1"/>
    <s v="Same Day"/>
    <n v="0"/>
    <x v="3"/>
  </r>
  <r>
    <s v="ORD20250032"/>
    <s v="2025-05-26"/>
    <s v="May"/>
    <s v="Q2"/>
    <n v="2025"/>
    <s v="South"/>
    <s v="Telangana"/>
    <s v="Hyderabad"/>
    <s v="Distributor"/>
    <s v="Corporate"/>
    <s v="Simran Kaur"/>
    <s v="Grocery"/>
    <s v="Beverages"/>
    <s v="Instant Coffee Jar"/>
    <n v="16"/>
    <n v="305"/>
    <n v="0.11"/>
    <n v="4343.2"/>
    <n v="2909.94"/>
    <x v="31"/>
    <n v="0.33"/>
    <x v="4"/>
    <s v="Standard"/>
    <n v="6"/>
    <x v="1"/>
  </r>
  <r>
    <s v="ORD20250033"/>
    <s v="2025-07-07"/>
    <s v="Jul"/>
    <s v="Q3"/>
    <n v="2025"/>
    <s v="North"/>
    <s v="Punjab"/>
    <s v="Amritsar"/>
    <s v="Online"/>
    <s v="Corporate"/>
    <s v="Rohit Jain"/>
    <s v="Electronics"/>
    <s v="Laptop"/>
    <s v="HP Pavilion"/>
    <n v="5"/>
    <n v="56621"/>
    <n v="0.15"/>
    <n v="240639.25"/>
    <n v="204543.35999999999"/>
    <x v="32"/>
    <n v="0.15"/>
    <x v="2"/>
    <s v="Same Day"/>
    <n v="0"/>
    <x v="0"/>
  </r>
  <r>
    <s v="ORD20250034"/>
    <s v="2025-06-12"/>
    <s v="Jun"/>
    <s v="Q2"/>
    <n v="2025"/>
    <s v="West"/>
    <s v="Maharashtra"/>
    <s v="Nagpur"/>
    <s v="Distributor"/>
    <s v="Corporate"/>
    <s v="Kavya Iyer"/>
    <s v="Clothing"/>
    <s v="Men"/>
    <s v="Denim Jeans"/>
    <n v="5"/>
    <n v="1435"/>
    <n v="0.09"/>
    <n v="6529.25"/>
    <n v="3917.55"/>
    <x v="33"/>
    <n v="0.4"/>
    <x v="2"/>
    <s v="Standard"/>
    <n v="3"/>
    <x v="0"/>
  </r>
  <r>
    <s v="ORD20250035"/>
    <s v="2025-01-27"/>
    <s v="Jan"/>
    <s v="Q1"/>
    <n v="2025"/>
    <s v="West"/>
    <s v="Gujarat"/>
    <s v="Ahmedabad"/>
    <s v="Retail Store"/>
    <s v="Home Office"/>
    <s v="Sandeep Rao"/>
    <s v="Furniture"/>
    <s v="Chair"/>
    <s v="Gaming Chair"/>
    <n v="2"/>
    <n v="14099"/>
    <n v="0.1"/>
    <n v="25378.2"/>
    <n v="18779.87"/>
    <x v="34"/>
    <n v="0.26"/>
    <x v="1"/>
    <s v="Express"/>
    <n v="3"/>
    <x v="0"/>
  </r>
  <r>
    <s v="ORD20250036"/>
    <s v="2025-07-31"/>
    <s v="Aug"/>
    <s v="Q3"/>
    <n v="2025"/>
    <s v="North"/>
    <s v="Punjab"/>
    <s v="Amritsar"/>
    <s v="Distributor"/>
    <s v="Corporate"/>
    <s v="Rahul Mehta"/>
    <s v="Electronics"/>
    <s v="Mobile"/>
    <s v="Samsung Galaxy A54"/>
    <n v="2"/>
    <n v="30555"/>
    <n v="0.09"/>
    <n v="55610.1"/>
    <n v="45600.28"/>
    <x v="35"/>
    <n v="0.18"/>
    <x v="1"/>
    <s v="Express"/>
    <n v="3"/>
    <x v="0"/>
  </r>
  <r>
    <s v="ORD20250037"/>
    <s v="2025-12-08"/>
    <s v="Dec"/>
    <s v="Q4"/>
    <n v="2025"/>
    <s v="East"/>
    <s v="West Bengal"/>
    <s v="Siliguri"/>
    <s v="Distributor"/>
    <s v="Corporate"/>
    <s v="Arjun Patel"/>
    <s v="Electronics"/>
    <s v="Accessories"/>
    <s v="Mechanical Keyboard"/>
    <n v="2"/>
    <n v="2294"/>
    <n v="0.17"/>
    <n v="3808.04"/>
    <n v="2665.63"/>
    <x v="36"/>
    <n v="0.3"/>
    <x v="3"/>
    <s v="Standard"/>
    <n v="7"/>
    <x v="0"/>
  </r>
  <r>
    <s v="ORD20250038"/>
    <s v="2025-01-09"/>
    <s v="Jan"/>
    <s v="Q1"/>
    <n v="2025"/>
    <s v="South"/>
    <s v="Kerala"/>
    <s v="Thiruvananthapuram"/>
    <s v="Retail Store"/>
    <s v="Consumer"/>
    <s v="Amit Sharma"/>
    <s v="Clothing"/>
    <s v="Women"/>
    <s v="Western Dress"/>
    <n v="6"/>
    <n v="3475"/>
    <n v="0.02"/>
    <n v="20433"/>
    <n v="11646.81"/>
    <x v="37"/>
    <n v="0.43"/>
    <x v="4"/>
    <s v="Same Day"/>
    <n v="0"/>
    <x v="3"/>
  </r>
  <r>
    <s v="ORD20250039"/>
    <s v="2025-02-25"/>
    <s v="Feb"/>
    <s v="Q1"/>
    <n v="2025"/>
    <s v="West"/>
    <s v="Gujarat"/>
    <s v="Surat"/>
    <s v="Online"/>
    <s v="Consumer"/>
    <s v="Arjun Patel"/>
    <s v="Electronics"/>
    <s v="Accessories"/>
    <s v="Mechanical Keyboard"/>
    <n v="5"/>
    <n v="3445"/>
    <n v="0.14000000000000001"/>
    <n v="14813.5"/>
    <n v="10369.450000000001"/>
    <x v="38"/>
    <n v="0.3"/>
    <x v="2"/>
    <s v="Same Day"/>
    <n v="0"/>
    <x v="0"/>
  </r>
  <r>
    <s v="ORD20250040"/>
    <s v="2025-04-09"/>
    <s v="Apr"/>
    <s v="Q2"/>
    <n v="2025"/>
    <s v="West"/>
    <s v="Goa"/>
    <s v="Panaji"/>
    <s v="Distributor"/>
    <s v="Consumer"/>
    <s v="Priya Nair"/>
    <s v="Clothing"/>
    <s v="Men"/>
    <s v="Formal Shirt"/>
    <n v="12"/>
    <n v="1512"/>
    <n v="0.18"/>
    <n v="14878.08"/>
    <n v="8629.2900000000009"/>
    <x v="39"/>
    <n v="0.42"/>
    <x v="2"/>
    <s v="Same Day"/>
    <n v="0"/>
    <x v="0"/>
  </r>
  <r>
    <s v="ORD20250041"/>
    <s v="2025-08-22"/>
    <s v="Aug"/>
    <s v="Q3"/>
    <n v="2025"/>
    <s v="West"/>
    <s v="Goa"/>
    <s v="Panaji"/>
    <s v="Online"/>
    <s v="Consumer"/>
    <s v="Neha Verma"/>
    <s v="Electronics"/>
    <s v="Accessories"/>
    <s v="Mechanical Keyboard"/>
    <n v="1"/>
    <n v="2176"/>
    <n v="7.0000000000000007E-2"/>
    <n v="2023.68"/>
    <n v="1416.58"/>
    <x v="40"/>
    <n v="0.3"/>
    <x v="4"/>
    <s v="Express"/>
    <n v="1"/>
    <x v="0"/>
  </r>
  <r>
    <s v="ORD20250042"/>
    <s v="2025-04-07"/>
    <s v="Apr"/>
    <s v="Q2"/>
    <n v="2025"/>
    <s v="North"/>
    <s v="Punjab"/>
    <s v="Ludhiana"/>
    <s v="Online"/>
    <s v="Home Office"/>
    <s v="Arjun Patel"/>
    <s v="Grocery"/>
    <s v="Snacks"/>
    <s v="Potato Chips Combo"/>
    <n v="15"/>
    <n v="93"/>
    <n v="7.0000000000000007E-2"/>
    <n v="1297.3499999999999"/>
    <n v="830.3"/>
    <x v="41"/>
    <n v="0.36"/>
    <x v="1"/>
    <s v="Standard"/>
    <n v="4"/>
    <x v="3"/>
  </r>
  <r>
    <s v="ORD20250043"/>
    <s v="2025-02-13"/>
    <s v="Feb"/>
    <s v="Q1"/>
    <n v="2025"/>
    <s v="North"/>
    <s v="Uttar Pradesh"/>
    <s v="Kanpur"/>
    <s v="Online"/>
    <s v="Consumer"/>
    <s v="Pooja Singh"/>
    <s v="Furniture"/>
    <s v="Table"/>
    <s v="Study Table"/>
    <n v="1"/>
    <n v="7682"/>
    <n v="0.05"/>
    <n v="7297.9"/>
    <n v="5181.51"/>
    <x v="42"/>
    <n v="0.28999999999999998"/>
    <x v="3"/>
    <s v="Express"/>
    <n v="2"/>
    <x v="3"/>
  </r>
  <r>
    <s v="ORD20250044"/>
    <s v="2025-03-12"/>
    <s v="Mar"/>
    <s v="Q1"/>
    <n v="2025"/>
    <s v="East"/>
    <s v="Bihar"/>
    <s v="Patna"/>
    <s v="Distributor"/>
    <s v="Corporate"/>
    <s v="Neha Verma"/>
    <s v="Electronics"/>
    <s v="Accessories"/>
    <s v="Wireless Mouse"/>
    <n v="3"/>
    <n v="1107"/>
    <n v="0.09"/>
    <n v="3022.11"/>
    <n v="2055.0300000000002"/>
    <x v="43"/>
    <n v="0.32"/>
    <x v="4"/>
    <s v="Standard"/>
    <n v="3"/>
    <x v="0"/>
  </r>
  <r>
    <s v="ORD20250045"/>
    <s v="2025-05-24"/>
    <s v="May"/>
    <s v="Q2"/>
    <n v="2025"/>
    <s v="South"/>
    <s v="Telangana"/>
    <s v="Hyderabad"/>
    <s v="Online"/>
    <s v="Home Office"/>
    <s v="Rohit Jain"/>
    <s v="Furniture"/>
    <s v="Chair"/>
    <s v="Office Chair"/>
    <n v="1"/>
    <n v="6510"/>
    <n v="0.05"/>
    <n v="6184.5"/>
    <n v="4452.84"/>
    <x v="44"/>
    <n v="0.28000000000000003"/>
    <x v="1"/>
    <s v="Express"/>
    <n v="3"/>
    <x v="3"/>
  </r>
  <r>
    <s v="ORD20250046"/>
    <s v="2025-07-02"/>
    <s v="Jul"/>
    <s v="Q3"/>
    <n v="2025"/>
    <s v="East"/>
    <s v="Odisha"/>
    <s v="Cuttack"/>
    <s v="Retail Store"/>
    <s v="Home Office"/>
    <s v="Kavya Iyer"/>
    <s v="Clothing"/>
    <s v="Men"/>
    <s v="Formal Shirt"/>
    <n v="5"/>
    <n v="1490"/>
    <n v="0.1"/>
    <n v="6705"/>
    <n v="3888.9"/>
    <x v="45"/>
    <n v="0.42"/>
    <x v="1"/>
    <s v="Express"/>
    <n v="2"/>
    <x v="0"/>
  </r>
  <r>
    <s v="ORD20250047"/>
    <s v="2025-03-07"/>
    <s v="Mar"/>
    <s v="Q1"/>
    <n v="2025"/>
    <s v="West"/>
    <s v="Gujarat"/>
    <s v="Ahmedabad"/>
    <s v="Distributor"/>
    <s v="Corporate"/>
    <s v="Amit Sharma"/>
    <s v="Clothing"/>
    <s v="Men"/>
    <s v="Denim Jeans"/>
    <n v="6"/>
    <n v="1402"/>
    <n v="0.1"/>
    <n v="7570.8"/>
    <n v="4542.4799999999996"/>
    <x v="46"/>
    <n v="0.4"/>
    <x v="3"/>
    <s v="Standard"/>
    <n v="4"/>
    <x v="1"/>
  </r>
  <r>
    <s v="ORD20250048"/>
    <s v="2025-05-15"/>
    <s v="May"/>
    <s v="Q2"/>
    <n v="2025"/>
    <s v="West"/>
    <s v="Goa"/>
    <s v="Panaji"/>
    <s v="Online"/>
    <s v="Home Office"/>
    <s v="Priya Nair"/>
    <s v="Clothing"/>
    <s v="Women"/>
    <s v="Silk Saree"/>
    <n v="12"/>
    <n v="5408"/>
    <n v="0.11"/>
    <n v="57757.440000000002"/>
    <n v="36387.19"/>
    <x v="47"/>
    <n v="0.37"/>
    <x v="3"/>
    <s v="Same Day"/>
    <n v="0"/>
    <x v="0"/>
  </r>
  <r>
    <s v="ORD20250049"/>
    <s v="2025-05-26"/>
    <s v="May"/>
    <s v="Q2"/>
    <n v="2025"/>
    <s v="West"/>
    <s v="Gujarat"/>
    <s v="Surat"/>
    <s v="Online"/>
    <s v="Corporate"/>
    <s v="Simran Kaur"/>
    <s v="Grocery"/>
    <s v="Snacks"/>
    <s v="Butter Biscuits"/>
    <n v="13"/>
    <n v="107"/>
    <n v="0.15"/>
    <n v="1182.3499999999999"/>
    <n v="733.06"/>
    <x v="48"/>
    <n v="0.38"/>
    <x v="3"/>
    <s v="Standard"/>
    <n v="6"/>
    <x v="0"/>
  </r>
  <r>
    <s v="ORD20250050"/>
    <s v="2025-07-25"/>
    <s v="Jul"/>
    <s v="Q3"/>
    <n v="2025"/>
    <s v="North"/>
    <s v="Rajasthan"/>
    <s v="Udaipur"/>
    <s v="Retail Store"/>
    <s v="Home Office"/>
    <s v="Simran Kaur"/>
    <s v="Clothing"/>
    <s v="Women"/>
    <s v="Western Dress"/>
    <n v="11"/>
    <n v="3216"/>
    <n v="0"/>
    <n v="35376"/>
    <n v="20164.32"/>
    <x v="49"/>
    <n v="0.43"/>
    <x v="1"/>
    <s v="Same Day"/>
    <n v="0"/>
    <x v="0"/>
  </r>
  <r>
    <s v="ORD20250051"/>
    <s v="2025-05-26"/>
    <s v="May"/>
    <s v="Q2"/>
    <n v="2025"/>
    <s v="East"/>
    <s v="Odisha"/>
    <s v="Bhubaneswar"/>
    <s v="Retail Store"/>
    <s v="Consumer"/>
    <s v="Rahul Mehta"/>
    <s v="Clothing"/>
    <s v="Men"/>
    <s v="Formal Shirt"/>
    <n v="7"/>
    <n v="1968"/>
    <n v="0.03"/>
    <n v="13362.72"/>
    <n v="7750.38"/>
    <x v="50"/>
    <n v="0.42"/>
    <x v="0"/>
    <s v="Express"/>
    <n v="3"/>
    <x v="1"/>
  </r>
  <r>
    <s v="ORD20250052"/>
    <s v="2025-08-18"/>
    <s v="Aug"/>
    <s v="Q3"/>
    <n v="2025"/>
    <s v="North"/>
    <s v="Rajasthan"/>
    <s v="Jaipur"/>
    <s v="Online"/>
    <s v="Corporate"/>
    <s v="Simran Kaur"/>
    <s v="Clothing"/>
    <s v="Men"/>
    <s v="Formal Shirt"/>
    <n v="3"/>
    <n v="1388"/>
    <n v="0.05"/>
    <n v="3955.8"/>
    <n v="2294.36"/>
    <x v="51"/>
    <n v="0.42"/>
    <x v="0"/>
    <s v="Express"/>
    <n v="3"/>
    <x v="0"/>
  </r>
  <r>
    <s v="ORD20250053"/>
    <s v="2025-10-21"/>
    <s v="Oct"/>
    <s v="Q4"/>
    <n v="2025"/>
    <s v="West"/>
    <s v="Gujarat"/>
    <s v="Surat"/>
    <s v="Retail Store"/>
    <s v="Consumer"/>
    <s v="Priya Nair"/>
    <s v="Electronics"/>
    <s v="Laptop"/>
    <s v="Dell Inspiron 15"/>
    <n v="3"/>
    <n v="56019"/>
    <n v="0.05"/>
    <n v="159654.15"/>
    <n v="134109.49"/>
    <x v="52"/>
    <n v="0.16"/>
    <x v="4"/>
    <s v="Express"/>
    <n v="3"/>
    <x v="1"/>
  </r>
  <r>
    <s v="ORD20250054"/>
    <s v="2025-05-08"/>
    <s v="May"/>
    <s v="Q2"/>
    <n v="2025"/>
    <s v="East"/>
    <s v="West Bengal"/>
    <s v="Kolkata"/>
    <s v="Online"/>
    <s v="Corporate"/>
    <s v="Amit Sharma"/>
    <s v="Furniture"/>
    <s v="Table"/>
    <s v="Study Table"/>
    <n v="2"/>
    <n v="8737"/>
    <n v="0.15"/>
    <n v="14852.9"/>
    <n v="10545.56"/>
    <x v="53"/>
    <n v="0.28999999999999998"/>
    <x v="1"/>
    <s v="Same Day"/>
    <n v="0"/>
    <x v="0"/>
  </r>
  <r>
    <s v="ORD20250055"/>
    <s v="2025-02-11"/>
    <s v="Feb"/>
    <s v="Q1"/>
    <n v="2025"/>
    <s v="South"/>
    <s v="Tamil Nadu"/>
    <s v="Coimbatore"/>
    <s v="Online"/>
    <s v="Consumer"/>
    <s v="Pooja Singh"/>
    <s v="Electronics"/>
    <s v="Mobile"/>
    <s v="iPhone 14"/>
    <n v="1"/>
    <n v="67033"/>
    <n v="0.06"/>
    <n v="63011.02"/>
    <n v="55449.7"/>
    <x v="54"/>
    <n v="0.12"/>
    <x v="4"/>
    <s v="Same Day"/>
    <n v="0"/>
    <x v="0"/>
  </r>
  <r>
    <s v="ORD20250056"/>
    <s v="2025-08-18"/>
    <s v="Aug"/>
    <s v="Q3"/>
    <n v="2025"/>
    <s v="West"/>
    <s v="Goa"/>
    <s v="Panaji"/>
    <s v="Online"/>
    <s v="Home Office"/>
    <s v="Rahul Mehta"/>
    <s v="Grocery"/>
    <s v="Snacks"/>
    <s v="Potato Chips Combo"/>
    <n v="15"/>
    <n v="110"/>
    <n v="0.13"/>
    <n v="1435.5"/>
    <n v="918.72"/>
    <x v="55"/>
    <n v="0.36"/>
    <x v="4"/>
    <s v="Express"/>
    <n v="3"/>
    <x v="0"/>
  </r>
  <r>
    <s v="ORD20250057"/>
    <s v="2025-08-15"/>
    <s v="Aug"/>
    <s v="Q3"/>
    <n v="2025"/>
    <s v="East"/>
    <s v="Odisha"/>
    <s v="Cuttack"/>
    <s v="Distributor"/>
    <s v="Consumer"/>
    <s v="Rahul Mehta"/>
    <s v="Furniture"/>
    <s v="Chair"/>
    <s v="Office Chair"/>
    <n v="2"/>
    <n v="4989"/>
    <n v="0.14000000000000001"/>
    <n v="8581.08"/>
    <n v="6178.38"/>
    <x v="56"/>
    <n v="0.28000000000000003"/>
    <x v="2"/>
    <s v="Same Day"/>
    <n v="0"/>
    <x v="1"/>
  </r>
  <r>
    <s v="ORD20250058"/>
    <s v="2025-11-18"/>
    <s v="Nov"/>
    <s v="Q4"/>
    <n v="2025"/>
    <s v="East"/>
    <s v="Odisha"/>
    <s v="Bhubaneswar"/>
    <s v="Retail Store"/>
    <s v="Corporate"/>
    <s v="Rahul Mehta"/>
    <s v="Clothing"/>
    <s v="Women"/>
    <s v="Silk Saree"/>
    <n v="5"/>
    <n v="7577"/>
    <n v="0.06"/>
    <n v="35611.9"/>
    <n v="22435.5"/>
    <x v="57"/>
    <n v="0.37"/>
    <x v="4"/>
    <s v="Express"/>
    <n v="1"/>
    <x v="2"/>
  </r>
  <r>
    <s v="ORD20250059"/>
    <s v="2025-12-18"/>
    <s v="Dec"/>
    <s v="Q4"/>
    <n v="2025"/>
    <s v="North"/>
    <s v="Delhi"/>
    <s v="New Delhi"/>
    <s v="Distributor"/>
    <s v="Home Office"/>
    <s v="Arjun Patel"/>
    <s v="Clothing"/>
    <s v="Women"/>
    <s v="Western Dress"/>
    <n v="12"/>
    <n v="2595"/>
    <n v="0.09"/>
    <n v="28337.4"/>
    <n v="16152.32"/>
    <x v="58"/>
    <n v="0.43"/>
    <x v="3"/>
    <s v="Standard"/>
    <n v="5"/>
    <x v="3"/>
  </r>
  <r>
    <s v="ORD20250060"/>
    <s v="2025-03-07"/>
    <s v="Mar"/>
    <s v="Q1"/>
    <n v="2025"/>
    <s v="East"/>
    <s v="West Bengal"/>
    <s v="Siliguri"/>
    <s v="Online"/>
    <s v="Consumer"/>
    <s v="Sandeep Rao"/>
    <s v="Electronics"/>
    <s v="Mobile"/>
    <s v="iPhone 14"/>
    <n v="5"/>
    <n v="59260"/>
    <n v="0.11"/>
    <n v="263707"/>
    <n v="232062.16"/>
    <x v="59"/>
    <n v="0.12"/>
    <x v="3"/>
    <s v="Same Day"/>
    <n v="0"/>
    <x v="0"/>
  </r>
  <r>
    <s v="ORD20250061"/>
    <s v="2025-03-31"/>
    <s v="Apr"/>
    <s v="Q2"/>
    <n v="2025"/>
    <s v="South"/>
    <s v="Kerala"/>
    <s v="Thiruvananthapuram"/>
    <s v="Online"/>
    <s v="Home Office"/>
    <s v="Rahul Mehta"/>
    <s v="Clothing"/>
    <s v="Men"/>
    <s v="Denim Jeans"/>
    <n v="7"/>
    <n v="1804"/>
    <n v="0.1"/>
    <n v="11365.2"/>
    <n v="6819.12"/>
    <x v="60"/>
    <n v="0.4"/>
    <x v="1"/>
    <s v="Standard"/>
    <n v="5"/>
    <x v="3"/>
  </r>
  <r>
    <s v="ORD20250062"/>
    <s v="2025-03-18"/>
    <s v="Mar"/>
    <s v="Q1"/>
    <n v="2025"/>
    <s v="South"/>
    <s v="Telangana"/>
    <s v="Hyderabad"/>
    <s v="Retail Store"/>
    <s v="Consumer"/>
    <s v="Amit Sharma"/>
    <s v="Furniture"/>
    <s v="Chair"/>
    <s v="Gaming Chair"/>
    <n v="2"/>
    <n v="12186"/>
    <n v="0.02"/>
    <n v="23884.560000000001"/>
    <n v="17674.57"/>
    <x v="61"/>
    <n v="0.26"/>
    <x v="4"/>
    <s v="Express"/>
    <n v="3"/>
    <x v="2"/>
  </r>
  <r>
    <s v="ORD20250063"/>
    <s v="2025-01-31"/>
    <s v="Feb"/>
    <s v="Q1"/>
    <n v="2025"/>
    <s v="South"/>
    <s v="Tamil Nadu"/>
    <s v="Coimbatore"/>
    <s v="Online"/>
    <s v="Corporate"/>
    <s v="Kavya Iyer"/>
    <s v="Electronics"/>
    <s v="Laptop"/>
    <s v="HP Pavilion"/>
    <n v="2"/>
    <n v="66583"/>
    <n v="0.13"/>
    <n v="115854.42"/>
    <n v="98476.26"/>
    <x v="62"/>
    <n v="0.15"/>
    <x v="2"/>
    <s v="Standard"/>
    <n v="4"/>
    <x v="0"/>
  </r>
  <r>
    <s v="ORD20250064"/>
    <s v="2025-10-19"/>
    <s v="Oct"/>
    <s v="Q4"/>
    <n v="2025"/>
    <s v="West"/>
    <s v="Maharashtra"/>
    <s v="Mumbai"/>
    <s v="Online"/>
    <s v="Corporate"/>
    <s v="Simran Kaur"/>
    <s v="Electronics"/>
    <s v="Mobile"/>
    <s v="Samsung Galaxy A54"/>
    <n v="5"/>
    <n v="22312"/>
    <n v="7.0000000000000007E-2"/>
    <n v="103750.8"/>
    <n v="85075.66"/>
    <x v="63"/>
    <n v="0.18"/>
    <x v="2"/>
    <s v="Same Day"/>
    <n v="0"/>
    <x v="3"/>
  </r>
  <r>
    <s v="ORD20250065"/>
    <s v="2025-12-27"/>
    <s v="Dec"/>
    <s v="Q4"/>
    <n v="2025"/>
    <s v="East"/>
    <s v="Bihar"/>
    <s v="Patna"/>
    <s v="Distributor"/>
    <s v="Home Office"/>
    <s v="Rohit Jain"/>
    <s v="Electronics"/>
    <s v="Laptop"/>
    <s v="Dell Inspiron 15"/>
    <n v="2"/>
    <n v="61465"/>
    <n v="0.16"/>
    <n v="103261.2"/>
    <n v="86739.41"/>
    <x v="64"/>
    <n v="0.16"/>
    <x v="2"/>
    <s v="Same Day"/>
    <n v="0"/>
    <x v="0"/>
  </r>
  <r>
    <s v="ORD20250066"/>
    <s v="2025-08-22"/>
    <s v="Aug"/>
    <s v="Q3"/>
    <n v="2025"/>
    <s v="North"/>
    <s v="Rajasthan"/>
    <s v="Jaipur"/>
    <s v="Distributor"/>
    <s v="Corporate"/>
    <s v="Priya Nair"/>
    <s v="Clothing"/>
    <s v="Men"/>
    <s v="Denim Jeans"/>
    <n v="9"/>
    <n v="1584"/>
    <n v="0.1"/>
    <n v="12830.4"/>
    <n v="7698.24"/>
    <x v="65"/>
    <n v="0.4"/>
    <x v="1"/>
    <s v="Standard"/>
    <n v="7"/>
    <x v="2"/>
  </r>
  <r>
    <s v="ORD20250067"/>
    <s v="2025-10-05"/>
    <s v="Oct"/>
    <s v="Q4"/>
    <n v="2025"/>
    <s v="East"/>
    <s v="Odisha"/>
    <s v="Cuttack"/>
    <s v="Retail Store"/>
    <s v="Corporate"/>
    <s v="Pooja Singh"/>
    <s v="Grocery"/>
    <s v="Beverages"/>
    <s v="Premium Tea Pack"/>
    <n v="5"/>
    <n v="387"/>
    <n v="0.09"/>
    <n v="1760.85"/>
    <n v="1162.1600000000001"/>
    <x v="66"/>
    <n v="0.34"/>
    <x v="3"/>
    <s v="Same Day"/>
    <n v="0"/>
    <x v="0"/>
  </r>
  <r>
    <s v="ORD20250068"/>
    <s v="2025-02-19"/>
    <s v="Feb"/>
    <s v="Q1"/>
    <n v="2025"/>
    <s v="West"/>
    <s v="Maharashtra"/>
    <s v="Mumbai"/>
    <s v="Online"/>
    <s v="Home Office"/>
    <s v="Rahul Mehta"/>
    <s v="Clothing"/>
    <s v="Men"/>
    <s v="Denim Jeans"/>
    <n v="2"/>
    <n v="2234"/>
    <n v="0.1"/>
    <n v="4021.2"/>
    <n v="2412.7199999999998"/>
    <x v="67"/>
    <n v="0.4"/>
    <x v="3"/>
    <s v="Same Day"/>
    <n v="0"/>
    <x v="0"/>
  </r>
  <r>
    <s v="ORD20250069"/>
    <s v="2025-09-23"/>
    <s v="Sep"/>
    <s v="Q3"/>
    <n v="2025"/>
    <s v="South"/>
    <s v="Tamil Nadu"/>
    <s v="Chennai"/>
    <s v="Retail Store"/>
    <s v="Consumer"/>
    <s v="Neha Verma"/>
    <s v="Furniture"/>
    <s v="Table"/>
    <s v="Study Table"/>
    <n v="2"/>
    <n v="5337"/>
    <n v="0.09"/>
    <n v="9713.34"/>
    <n v="6896.47"/>
    <x v="68"/>
    <n v="0.28999999999999998"/>
    <x v="3"/>
    <s v="Express"/>
    <n v="3"/>
    <x v="1"/>
  </r>
  <r>
    <s v="ORD20250070"/>
    <s v="2025-06-06"/>
    <s v="Jun"/>
    <s v="Q2"/>
    <n v="2025"/>
    <s v="West"/>
    <s v="Goa"/>
    <s v="Panaji"/>
    <s v="Distributor"/>
    <s v="Corporate"/>
    <s v="Neha Verma"/>
    <s v="Electronics"/>
    <s v="Mobile"/>
    <s v="iPhone 14"/>
    <n v="4"/>
    <n v="69386"/>
    <n v="0.11"/>
    <n v="247014.16"/>
    <n v="217372.46"/>
    <x v="69"/>
    <n v="0.12"/>
    <x v="1"/>
    <s v="Express"/>
    <n v="1"/>
    <x v="0"/>
  </r>
  <r>
    <s v="ORD20250071"/>
    <s v="2025-05-24"/>
    <s v="May"/>
    <s v="Q2"/>
    <n v="2025"/>
    <s v="South"/>
    <s v="Telangana"/>
    <s v="Hyderabad"/>
    <s v="Retail Store"/>
    <s v="Home Office"/>
    <s v="Pooja Singh"/>
    <s v="Electronics"/>
    <s v="Laptop"/>
    <s v="Dell Inspiron 15"/>
    <n v="4"/>
    <n v="56988"/>
    <n v="0.04"/>
    <n v="218833.92000000001"/>
    <n v="183820.49"/>
    <x v="70"/>
    <n v="0.16"/>
    <x v="4"/>
    <s v="Standard"/>
    <n v="5"/>
    <x v="0"/>
  </r>
  <r>
    <s v="ORD20250072"/>
    <s v="2025-04-22"/>
    <s v="Apr"/>
    <s v="Q2"/>
    <n v="2025"/>
    <s v="South"/>
    <s v="Karnataka"/>
    <s v="Bengaluru"/>
    <s v="Online"/>
    <s v="Consumer"/>
    <s v="Arjun Patel"/>
    <s v="Grocery"/>
    <s v="Beverages"/>
    <s v="Premium Tea Pack"/>
    <n v="25"/>
    <n v="309"/>
    <n v="0.13"/>
    <n v="6720.75"/>
    <n v="4435.7"/>
    <x v="71"/>
    <n v="0.34"/>
    <x v="3"/>
    <s v="Express"/>
    <n v="1"/>
    <x v="1"/>
  </r>
  <r>
    <s v="ORD20250073"/>
    <s v="2025-02-11"/>
    <s v="Feb"/>
    <s v="Q1"/>
    <n v="2025"/>
    <s v="East"/>
    <s v="West Bengal"/>
    <s v="Siliguri"/>
    <s v="Retail Store"/>
    <s v="Home Office"/>
    <s v="Neha Verma"/>
    <s v="Electronics"/>
    <s v="Accessories"/>
    <s v="Wireless Mouse"/>
    <n v="3"/>
    <n v="1013"/>
    <n v="0"/>
    <n v="3039"/>
    <n v="2066.52"/>
    <x v="72"/>
    <n v="0.32"/>
    <x v="2"/>
    <s v="Standard"/>
    <n v="5"/>
    <x v="0"/>
  </r>
  <r>
    <s v="ORD20250074"/>
    <s v="2025-11-11"/>
    <s v="Nov"/>
    <s v="Q4"/>
    <n v="2025"/>
    <s v="North"/>
    <s v="Delhi"/>
    <s v="New Delhi"/>
    <s v="Distributor"/>
    <s v="Home Office"/>
    <s v="Priya Nair"/>
    <s v="Grocery"/>
    <s v="Snacks"/>
    <s v="Butter Biscuits"/>
    <n v="23"/>
    <n v="47"/>
    <n v="0.14000000000000001"/>
    <n v="929.66"/>
    <n v="576.39"/>
    <x v="73"/>
    <n v="0.38"/>
    <x v="2"/>
    <s v="Express"/>
    <n v="1"/>
    <x v="1"/>
  </r>
  <r>
    <s v="ORD20250075"/>
    <s v="2025-01-27"/>
    <s v="Jan"/>
    <s v="Q1"/>
    <n v="2025"/>
    <s v="East"/>
    <s v="Odisha"/>
    <s v="Bhubaneswar"/>
    <s v="Distributor"/>
    <s v="Corporate"/>
    <s v="Rohit Jain"/>
    <s v="Electronics"/>
    <s v="Accessories"/>
    <s v="Wireless Mouse"/>
    <n v="5"/>
    <n v="836"/>
    <n v="0.1"/>
    <n v="3762"/>
    <n v="2558.16"/>
    <x v="74"/>
    <n v="0.32"/>
    <x v="2"/>
    <s v="Standard"/>
    <n v="5"/>
    <x v="0"/>
  </r>
  <r>
    <s v="ORD20250076"/>
    <s v="2025-11-17"/>
    <s v="Nov"/>
    <s v="Q4"/>
    <n v="2025"/>
    <s v="West"/>
    <s v="Goa"/>
    <s v="Panaji"/>
    <s v="Distributor"/>
    <s v="Consumer"/>
    <s v="Amit Sharma"/>
    <s v="Clothing"/>
    <s v="Women"/>
    <s v="Silk Saree"/>
    <n v="6"/>
    <n v="4113"/>
    <n v="0.11"/>
    <n v="21963.42"/>
    <n v="13836.95"/>
    <x v="75"/>
    <n v="0.37"/>
    <x v="4"/>
    <s v="Same Day"/>
    <n v="0"/>
    <x v="2"/>
  </r>
  <r>
    <s v="ORD20250077"/>
    <s v="2025-08-14"/>
    <s v="Aug"/>
    <s v="Q3"/>
    <n v="2025"/>
    <s v="West"/>
    <s v="Goa"/>
    <s v="Panaji"/>
    <s v="Retail Store"/>
    <s v="Home Office"/>
    <s v="Priya Nair"/>
    <s v="Clothing"/>
    <s v="Men"/>
    <s v="Formal Shirt"/>
    <n v="5"/>
    <n v="1333"/>
    <n v="0.05"/>
    <n v="6331.75"/>
    <n v="3672.42"/>
    <x v="76"/>
    <n v="0.42"/>
    <x v="0"/>
    <s v="Express"/>
    <n v="3"/>
    <x v="2"/>
  </r>
  <r>
    <s v="ORD20250078"/>
    <s v="2025-06-13"/>
    <s v="Jun"/>
    <s v="Q2"/>
    <n v="2025"/>
    <s v="East"/>
    <s v="Odisha"/>
    <s v="Cuttack"/>
    <s v="Distributor"/>
    <s v="Consumer"/>
    <s v="Amit Sharma"/>
    <s v="Grocery"/>
    <s v="Beverages"/>
    <s v="Premium Tea Pack"/>
    <n v="19"/>
    <n v="396"/>
    <n v="0.15"/>
    <n v="6395.4"/>
    <n v="4220.96"/>
    <x v="77"/>
    <n v="0.34"/>
    <x v="4"/>
    <s v="Express"/>
    <n v="3"/>
    <x v="0"/>
  </r>
  <r>
    <s v="ORD20250079"/>
    <s v="2025-01-13"/>
    <s v="Jan"/>
    <s v="Q1"/>
    <n v="2025"/>
    <s v="South"/>
    <s v="Telangana"/>
    <s v="Hyderabad"/>
    <s v="Retail Store"/>
    <s v="Corporate"/>
    <s v="Priya Nair"/>
    <s v="Electronics"/>
    <s v="Accessories"/>
    <s v="Wireless Mouse"/>
    <n v="2"/>
    <n v="934"/>
    <n v="0.03"/>
    <n v="1811.96"/>
    <n v="1232.1300000000001"/>
    <x v="78"/>
    <n v="0.32"/>
    <x v="2"/>
    <s v="Same Day"/>
    <n v="0"/>
    <x v="0"/>
  </r>
  <r>
    <s v="ORD20250080"/>
    <s v="2025-11-21"/>
    <s v="Nov"/>
    <s v="Q4"/>
    <n v="2025"/>
    <s v="West"/>
    <s v="Gujarat"/>
    <s v="Surat"/>
    <s v="Retail Store"/>
    <s v="Home Office"/>
    <s v="Amit Sharma"/>
    <s v="Grocery"/>
    <s v="Beverages"/>
    <s v="Instant Coffee Jar"/>
    <n v="24"/>
    <n v="404"/>
    <n v="0.06"/>
    <n v="9114.24"/>
    <n v="6106.54"/>
    <x v="79"/>
    <n v="0.33"/>
    <x v="3"/>
    <s v="Same Day"/>
    <n v="0"/>
    <x v="0"/>
  </r>
  <r>
    <s v="ORD20250081"/>
    <s v="2025-10-14"/>
    <s v="Oct"/>
    <s v="Q4"/>
    <n v="2025"/>
    <s v="West"/>
    <s v="Gujarat"/>
    <s v="Surat"/>
    <s v="Online"/>
    <s v="Corporate"/>
    <s v="Rohit Jain"/>
    <s v="Electronics"/>
    <s v="Mobile"/>
    <s v="Samsung Galaxy A54"/>
    <n v="6"/>
    <n v="25344"/>
    <n v="0.09"/>
    <n v="138378.23999999999"/>
    <n v="113470.16"/>
    <x v="80"/>
    <n v="0.18"/>
    <x v="0"/>
    <s v="Express"/>
    <n v="3"/>
    <x v="2"/>
  </r>
  <r>
    <s v="ORD20250082"/>
    <s v="2025-07-06"/>
    <s v="Jul"/>
    <s v="Q3"/>
    <n v="2025"/>
    <s v="East"/>
    <s v="Bihar"/>
    <s v="Patna"/>
    <s v="Retail Store"/>
    <s v="Corporate"/>
    <s v="Amit Sharma"/>
    <s v="Grocery"/>
    <s v="Beverages"/>
    <s v="Instant Coffee Jar"/>
    <n v="19"/>
    <n v="469"/>
    <n v="7.0000000000000007E-2"/>
    <n v="8287.23"/>
    <n v="5552.44"/>
    <x v="81"/>
    <n v="0.33"/>
    <x v="3"/>
    <s v="Express"/>
    <n v="1"/>
    <x v="2"/>
  </r>
  <r>
    <s v="ORD20250083"/>
    <s v="2025-10-13"/>
    <s v="Oct"/>
    <s v="Q4"/>
    <n v="2025"/>
    <s v="North"/>
    <s v="Delhi"/>
    <s v="New Delhi"/>
    <s v="Retail Store"/>
    <s v="Consumer"/>
    <s v="Amit Sharma"/>
    <s v="Grocery"/>
    <s v="Beverages"/>
    <s v="Instant Coffee Jar"/>
    <n v="6"/>
    <n v="553"/>
    <n v="0.06"/>
    <n v="3118.92"/>
    <n v="2089.6799999999998"/>
    <x v="82"/>
    <n v="0.33"/>
    <x v="4"/>
    <s v="Standard"/>
    <n v="4"/>
    <x v="0"/>
  </r>
  <r>
    <s v="ORD20250084"/>
    <s v="2025-04-03"/>
    <s v="Apr"/>
    <s v="Q2"/>
    <n v="2025"/>
    <s v="North"/>
    <s v="Rajasthan"/>
    <s v="Udaipur"/>
    <s v="Distributor"/>
    <s v="Corporate"/>
    <s v="Rahul Mehta"/>
    <s v="Furniture"/>
    <s v="Chair"/>
    <s v="Office Chair"/>
    <n v="2"/>
    <n v="8957"/>
    <n v="0.08"/>
    <n v="16480.88"/>
    <n v="11866.23"/>
    <x v="83"/>
    <n v="0.28000000000000003"/>
    <x v="0"/>
    <s v="Same Day"/>
    <n v="0"/>
    <x v="0"/>
  </r>
  <r>
    <s v="ORD20250085"/>
    <s v="2025-07-09"/>
    <s v="Jul"/>
    <s v="Q3"/>
    <n v="2025"/>
    <s v="East"/>
    <s v="West Bengal"/>
    <s v="Kolkata"/>
    <s v="Distributor"/>
    <s v="Consumer"/>
    <s v="Priya Nair"/>
    <s v="Furniture"/>
    <s v="Chair"/>
    <s v="Gaming Chair"/>
    <n v="1"/>
    <n v="12891"/>
    <n v="0.15"/>
    <n v="10957.35"/>
    <n v="8108.44"/>
    <x v="84"/>
    <n v="0.26"/>
    <x v="1"/>
    <s v="Express"/>
    <n v="3"/>
    <x v="3"/>
  </r>
  <r>
    <s v="ORD20250086"/>
    <s v="2025-03-02"/>
    <s v="Mar"/>
    <s v="Q1"/>
    <n v="2025"/>
    <s v="West"/>
    <s v="Maharashtra"/>
    <s v="Nagpur"/>
    <s v="Distributor"/>
    <s v="Consumer"/>
    <s v="Rahul Mehta"/>
    <s v="Electronics"/>
    <s v="Laptop"/>
    <s v="HP Pavilion"/>
    <n v="3"/>
    <n v="67342"/>
    <n v="0.15"/>
    <n v="171722.1"/>
    <n v="145963.79"/>
    <x v="85"/>
    <n v="0.15"/>
    <x v="2"/>
    <s v="Same Day"/>
    <n v="0"/>
    <x v="0"/>
  </r>
  <r>
    <s v="ORD20250087"/>
    <s v="2025-03-10"/>
    <s v="Mar"/>
    <s v="Q1"/>
    <n v="2025"/>
    <s v="West"/>
    <s v="Gujarat"/>
    <s v="Surat"/>
    <s v="Distributor"/>
    <s v="Home Office"/>
    <s v="Amit Sharma"/>
    <s v="Electronics"/>
    <s v="Laptop"/>
    <s v="Dell Inspiron 15"/>
    <n v="6"/>
    <n v="61497"/>
    <n v="0.12"/>
    <n v="324704.15999999997"/>
    <n v="272751.49"/>
    <x v="86"/>
    <n v="0.16"/>
    <x v="1"/>
    <s v="Express"/>
    <n v="2"/>
    <x v="1"/>
  </r>
  <r>
    <s v="ORD20250088"/>
    <s v="2025-10-14"/>
    <s v="Oct"/>
    <s v="Q4"/>
    <n v="2025"/>
    <s v="West"/>
    <s v="Gujarat"/>
    <s v="Ahmedabad"/>
    <s v="Distributor"/>
    <s v="Home Office"/>
    <s v="Rohit Jain"/>
    <s v="Electronics"/>
    <s v="Laptop"/>
    <s v="Dell Inspiron 15"/>
    <n v="6"/>
    <n v="52766"/>
    <n v="0.16"/>
    <n v="265940.64"/>
    <n v="223390.14"/>
    <x v="87"/>
    <n v="0.16"/>
    <x v="3"/>
    <s v="Standard"/>
    <n v="7"/>
    <x v="2"/>
  </r>
  <r>
    <s v="ORD20250089"/>
    <s v="2025-07-15"/>
    <s v="Jul"/>
    <s v="Q3"/>
    <n v="2025"/>
    <s v="East"/>
    <s v="West Bengal"/>
    <s v="Kolkata"/>
    <s v="Online"/>
    <s v="Home Office"/>
    <s v="Arjun Patel"/>
    <s v="Clothing"/>
    <s v="Men"/>
    <s v="Denim Jeans"/>
    <n v="7"/>
    <n v="2608"/>
    <n v="0.13"/>
    <n v="15882.72"/>
    <n v="9529.6299999999992"/>
    <x v="88"/>
    <n v="0.4"/>
    <x v="2"/>
    <s v="Standard"/>
    <n v="3"/>
    <x v="0"/>
  </r>
  <r>
    <s v="ORD20250090"/>
    <s v="2025-03-27"/>
    <s v="Mar"/>
    <s v="Q1"/>
    <n v="2025"/>
    <s v="East"/>
    <s v="Bihar"/>
    <s v="Patna"/>
    <s v="Distributor"/>
    <s v="Home Office"/>
    <s v="Pooja Singh"/>
    <s v="Electronics"/>
    <s v="Mobile"/>
    <s v="iPhone 14"/>
    <n v="3"/>
    <n v="68536"/>
    <n v="0.14000000000000001"/>
    <n v="176822.88"/>
    <n v="155604.13"/>
    <x v="89"/>
    <n v="0.12"/>
    <x v="2"/>
    <s v="Same Day"/>
    <n v="0"/>
    <x v="1"/>
  </r>
  <r>
    <s v="ORD20250091"/>
    <s v="2025-08-02"/>
    <s v="Aug"/>
    <s v="Q3"/>
    <n v="2025"/>
    <s v="West"/>
    <s v="Maharashtra"/>
    <s v="Nagpur"/>
    <s v="Distributor"/>
    <s v="Home Office"/>
    <s v="Sandeep Rao"/>
    <s v="Electronics"/>
    <s v="Accessories"/>
    <s v="Mechanical Keyboard"/>
    <n v="6"/>
    <n v="2264"/>
    <n v="0.18"/>
    <n v="11138.88"/>
    <n v="7797.22"/>
    <x v="90"/>
    <n v="0.3"/>
    <x v="4"/>
    <s v="Express"/>
    <n v="1"/>
    <x v="0"/>
  </r>
  <r>
    <s v="ORD20250092"/>
    <s v="2025-09-15"/>
    <s v="Sep"/>
    <s v="Q3"/>
    <n v="2025"/>
    <s v="North"/>
    <s v="Rajasthan"/>
    <s v="Udaipur"/>
    <s v="Retail Store"/>
    <s v="Corporate"/>
    <s v="Rohit Jain"/>
    <s v="Electronics"/>
    <s v="Mobile"/>
    <s v="Samsung Galaxy A54"/>
    <n v="4"/>
    <n v="26184"/>
    <n v="0.06"/>
    <n v="98451.839999999997"/>
    <n v="80730.509999999995"/>
    <x v="91"/>
    <n v="0.18"/>
    <x v="2"/>
    <s v="Same Day"/>
    <n v="0"/>
    <x v="0"/>
  </r>
  <r>
    <s v="ORD20250093"/>
    <s v="2025-12-18"/>
    <s v="Dec"/>
    <s v="Q4"/>
    <n v="2025"/>
    <s v="South"/>
    <s v="Karnataka"/>
    <s v="Bengaluru"/>
    <s v="Retail Store"/>
    <s v="Consumer"/>
    <s v="Rahul Mehta"/>
    <s v="Grocery"/>
    <s v="Beverages"/>
    <s v="Premium Tea Pack"/>
    <n v="11"/>
    <n v="337"/>
    <n v="0.08"/>
    <n v="3410.44"/>
    <n v="2250.89"/>
    <x v="92"/>
    <n v="0.34"/>
    <x v="2"/>
    <s v="Express"/>
    <n v="1"/>
    <x v="3"/>
  </r>
  <r>
    <s v="ORD20250094"/>
    <s v="2025-07-07"/>
    <s v="Jul"/>
    <s v="Q3"/>
    <n v="2025"/>
    <s v="North"/>
    <s v="Punjab"/>
    <s v="Amritsar"/>
    <s v="Distributor"/>
    <s v="Corporate"/>
    <s v="Sandeep Rao"/>
    <s v="Furniture"/>
    <s v="Table"/>
    <s v="Study Table"/>
    <n v="3"/>
    <n v="10861"/>
    <n v="0.08"/>
    <n v="29976.36"/>
    <n v="21283.22"/>
    <x v="93"/>
    <n v="0.28999999999999998"/>
    <x v="0"/>
    <s v="Standard"/>
    <n v="5"/>
    <x v="3"/>
  </r>
  <r>
    <s v="ORD20250095"/>
    <s v="2025-09-10"/>
    <s v="Sep"/>
    <s v="Q3"/>
    <n v="2025"/>
    <s v="West"/>
    <s v="Gujarat"/>
    <s v="Ahmedabad"/>
    <s v="Online"/>
    <s v="Consumer"/>
    <s v="Rahul Mehta"/>
    <s v="Furniture"/>
    <s v="Table"/>
    <s v="Study Table"/>
    <n v="1"/>
    <n v="7318"/>
    <n v="7.0000000000000007E-2"/>
    <n v="6805.74"/>
    <n v="4832.08"/>
    <x v="94"/>
    <n v="0.28999999999999998"/>
    <x v="4"/>
    <s v="Same Day"/>
    <n v="0"/>
    <x v="2"/>
  </r>
  <r>
    <s v="ORD20250096"/>
    <s v="2025-08-02"/>
    <s v="Aug"/>
    <s v="Q3"/>
    <n v="2025"/>
    <s v="North"/>
    <s v="Uttar Pradesh"/>
    <s v="Kanpur"/>
    <s v="Retail Store"/>
    <s v="Corporate"/>
    <s v="Arjun Patel"/>
    <s v="Clothing"/>
    <s v="Women"/>
    <s v="Western Dress"/>
    <n v="8"/>
    <n v="1888"/>
    <n v="0.05"/>
    <n v="14348.8"/>
    <n v="8178.82"/>
    <x v="95"/>
    <n v="0.43"/>
    <x v="4"/>
    <s v="Express"/>
    <n v="1"/>
    <x v="0"/>
  </r>
  <r>
    <s v="ORD20250097"/>
    <s v="2025-04-27"/>
    <s v="Apr"/>
    <s v="Q2"/>
    <n v="2025"/>
    <s v="North"/>
    <s v="Uttar Pradesh"/>
    <s v="Lucknow"/>
    <s v="Online"/>
    <s v="Consumer"/>
    <s v="Amit Sharma"/>
    <s v="Electronics"/>
    <s v="Laptop"/>
    <s v="HP Pavilion"/>
    <n v="2"/>
    <n v="53044"/>
    <n v="0.1"/>
    <n v="95479.2"/>
    <n v="81157.320000000007"/>
    <x v="96"/>
    <n v="0.15"/>
    <x v="1"/>
    <s v="Express"/>
    <n v="1"/>
    <x v="0"/>
  </r>
  <r>
    <s v="ORD20250098"/>
    <s v="2025-03-06"/>
    <s v="Mar"/>
    <s v="Q1"/>
    <n v="2025"/>
    <s v="West"/>
    <s v="Goa"/>
    <s v="Panaji"/>
    <s v="Online"/>
    <s v="Corporate"/>
    <s v="Neha Verma"/>
    <s v="Electronics"/>
    <s v="Mobile"/>
    <s v="Samsung Galaxy A54"/>
    <n v="1"/>
    <n v="25563"/>
    <n v="0.08"/>
    <n v="23517.96"/>
    <n v="19284.73"/>
    <x v="97"/>
    <n v="0.18"/>
    <x v="3"/>
    <s v="Express"/>
    <n v="1"/>
    <x v="3"/>
  </r>
  <r>
    <s v="ORD20250099"/>
    <s v="2025-02-07"/>
    <s v="Feb"/>
    <s v="Q1"/>
    <n v="2025"/>
    <s v="South"/>
    <s v="Telangana"/>
    <s v="Hyderabad"/>
    <s v="Retail Store"/>
    <s v="Corporate"/>
    <s v="Neha Verma"/>
    <s v="Electronics"/>
    <s v="Laptop"/>
    <s v="HP Pavilion"/>
    <n v="3"/>
    <n v="60823"/>
    <n v="0"/>
    <n v="182469"/>
    <n v="155098.65"/>
    <x v="98"/>
    <n v="0.15"/>
    <x v="1"/>
    <s v="Express"/>
    <n v="2"/>
    <x v="1"/>
  </r>
  <r>
    <s v="ORD20250100"/>
    <s v="2025-10-10"/>
    <s v="Oct"/>
    <s v="Q4"/>
    <n v="2025"/>
    <s v="North"/>
    <s v="Punjab"/>
    <s v="Amritsar"/>
    <s v="Distributor"/>
    <s v="Corporate"/>
    <s v="Arjun Patel"/>
    <s v="Electronics"/>
    <s v="Accessories"/>
    <s v="Mechanical Keyboard"/>
    <n v="3"/>
    <n v="3003"/>
    <n v="0.11"/>
    <n v="8018.01"/>
    <n v="5612.61"/>
    <x v="99"/>
    <n v="0.3"/>
    <x v="1"/>
    <s v="Express"/>
    <n v="3"/>
    <x v="0"/>
  </r>
  <r>
    <s v="ORD20250101"/>
    <s v="2025-05-12"/>
    <s v="May"/>
    <s v="Q2"/>
    <n v="2025"/>
    <s v="South"/>
    <s v="Telangana"/>
    <s v="Hyderabad"/>
    <s v="Online"/>
    <s v="Corporate"/>
    <s v="Amit Sharma"/>
    <s v="Furniture"/>
    <s v="Chair"/>
    <s v="Gaming Chair"/>
    <n v="2"/>
    <n v="13170"/>
    <n v="0.09"/>
    <n v="23969.4"/>
    <n v="17737.36"/>
    <x v="100"/>
    <n v="0.26"/>
    <x v="2"/>
    <s v="Express"/>
    <n v="2"/>
    <x v="3"/>
  </r>
  <r>
    <s v="ORD20250102"/>
    <s v="2025-01-01"/>
    <s v="Jan"/>
    <s v="Q1"/>
    <n v="2025"/>
    <s v="East"/>
    <s v="Odisha"/>
    <s v="Cuttack"/>
    <s v="Distributor"/>
    <s v="Corporate"/>
    <s v="Kavya Iyer"/>
    <s v="Electronics"/>
    <s v="Laptop"/>
    <s v="Dell Inspiron 15"/>
    <n v="6"/>
    <n v="55984"/>
    <n v="0.14000000000000001"/>
    <n v="288877.44"/>
    <n v="242657.05"/>
    <x v="101"/>
    <n v="0.16"/>
    <x v="3"/>
    <s v="Standard"/>
    <n v="4"/>
    <x v="0"/>
  </r>
  <r>
    <s v="ORD20250103"/>
    <s v="2025-02-05"/>
    <s v="Feb"/>
    <s v="Q1"/>
    <n v="2025"/>
    <s v="North"/>
    <s v="Uttar Pradesh"/>
    <s v="Noida"/>
    <s v="Online"/>
    <s v="Consumer"/>
    <s v="Kavya Iyer"/>
    <s v="Furniture"/>
    <s v="Chair"/>
    <s v="Office Chair"/>
    <n v="3"/>
    <n v="7848"/>
    <n v="0.15"/>
    <n v="20012.400000000001"/>
    <n v="14408.93"/>
    <x v="102"/>
    <n v="0.28000000000000003"/>
    <x v="0"/>
    <s v="Express"/>
    <n v="3"/>
    <x v="0"/>
  </r>
  <r>
    <s v="ORD20250104"/>
    <s v="2025-09-18"/>
    <s v="Sep"/>
    <s v="Q3"/>
    <n v="2025"/>
    <s v="West"/>
    <s v="Maharashtra"/>
    <s v="Nagpur"/>
    <s v="Distributor"/>
    <s v="Home Office"/>
    <s v="Arjun Patel"/>
    <s v="Electronics"/>
    <s v="Mobile"/>
    <s v="Samsung Galaxy A54"/>
    <n v="3"/>
    <n v="29425"/>
    <n v="0.08"/>
    <n v="81213"/>
    <n v="66594.66"/>
    <x v="103"/>
    <n v="0.18"/>
    <x v="0"/>
    <s v="Same Day"/>
    <n v="0"/>
    <x v="0"/>
  </r>
  <r>
    <s v="ORD20250105"/>
    <s v="2025-08-02"/>
    <s v="Aug"/>
    <s v="Q3"/>
    <n v="2025"/>
    <s v="West"/>
    <s v="Goa"/>
    <s v="Panaji"/>
    <s v="Online"/>
    <s v="Home Office"/>
    <s v="Kavya Iyer"/>
    <s v="Electronics"/>
    <s v="Accessories"/>
    <s v="Mechanical Keyboard"/>
    <n v="1"/>
    <n v="4003"/>
    <n v="0.15"/>
    <n v="3402.55"/>
    <n v="2381.79"/>
    <x v="104"/>
    <n v="0.3"/>
    <x v="4"/>
    <s v="Standard"/>
    <n v="4"/>
    <x v="1"/>
  </r>
  <r>
    <s v="ORD20250106"/>
    <s v="2025-11-21"/>
    <s v="Nov"/>
    <s v="Q4"/>
    <n v="2025"/>
    <s v="East"/>
    <s v="Odisha"/>
    <s v="Bhubaneswar"/>
    <s v="Online"/>
    <s v="Consumer"/>
    <s v="Neha Verma"/>
    <s v="Electronics"/>
    <s v="Mobile"/>
    <s v="iPhone 14"/>
    <n v="3"/>
    <n v="71049"/>
    <n v="0.13"/>
    <n v="185437.89"/>
    <n v="163185.34"/>
    <x v="105"/>
    <n v="0.12"/>
    <x v="0"/>
    <s v="Express"/>
    <n v="2"/>
    <x v="3"/>
  </r>
  <r>
    <s v="ORD20250107"/>
    <s v="2025-05-14"/>
    <s v="May"/>
    <s v="Q2"/>
    <n v="2025"/>
    <s v="North"/>
    <s v="Rajasthan"/>
    <s v="Udaipur"/>
    <s v="Retail Store"/>
    <s v="Home Office"/>
    <s v="Simran Kaur"/>
    <s v="Grocery"/>
    <s v="Beverages"/>
    <s v="Instant Coffee Jar"/>
    <n v="5"/>
    <n v="511"/>
    <n v="0.05"/>
    <n v="2427.25"/>
    <n v="1626.26"/>
    <x v="106"/>
    <n v="0.33"/>
    <x v="0"/>
    <s v="Same Day"/>
    <n v="0"/>
    <x v="1"/>
  </r>
  <r>
    <s v="ORD20250108"/>
    <s v="2025-09-04"/>
    <s v="Sep"/>
    <s v="Q3"/>
    <n v="2025"/>
    <s v="North"/>
    <s v="Delhi"/>
    <s v="New Delhi"/>
    <s v="Retail Store"/>
    <s v="Consumer"/>
    <s v="Neha Verma"/>
    <s v="Electronics"/>
    <s v="Laptop"/>
    <s v="Dell Inspiron 15"/>
    <n v="2"/>
    <n v="60537"/>
    <n v="0.02"/>
    <n v="118652.52"/>
    <n v="99668.12"/>
    <x v="107"/>
    <n v="0.16"/>
    <x v="2"/>
    <s v="Standard"/>
    <n v="6"/>
    <x v="3"/>
  </r>
  <r>
    <s v="ORD20250109"/>
    <s v="2025-02-07"/>
    <s v="Feb"/>
    <s v="Q1"/>
    <n v="2025"/>
    <s v="East"/>
    <s v="Bihar"/>
    <s v="Patna"/>
    <s v="Online"/>
    <s v="Corporate"/>
    <s v="Rahul Mehta"/>
    <s v="Electronics"/>
    <s v="Laptop"/>
    <s v="Dell Inspiron 15"/>
    <n v="2"/>
    <n v="53255"/>
    <n v="0.15"/>
    <n v="90533.5"/>
    <n v="76048.14"/>
    <x v="108"/>
    <n v="0.16"/>
    <x v="4"/>
    <s v="Standard"/>
    <n v="5"/>
    <x v="3"/>
  </r>
  <r>
    <s v="ORD20250110"/>
    <s v="2025-07-11"/>
    <s v="Jul"/>
    <s v="Q3"/>
    <n v="2025"/>
    <s v="North"/>
    <s v="Uttar Pradesh"/>
    <s v="Noida"/>
    <s v="Online"/>
    <s v="Consumer"/>
    <s v="Simran Kaur"/>
    <s v="Grocery"/>
    <s v="Beverages"/>
    <s v="Instant Coffee Jar"/>
    <n v="12"/>
    <n v="540"/>
    <n v="0.05"/>
    <n v="6156"/>
    <n v="4124.5200000000004"/>
    <x v="109"/>
    <n v="0.33"/>
    <x v="3"/>
    <s v="Express"/>
    <n v="1"/>
    <x v="3"/>
  </r>
  <r>
    <s v="ORD20250111"/>
    <s v="2025-03-11"/>
    <s v="Mar"/>
    <s v="Q1"/>
    <n v="2025"/>
    <s v="South"/>
    <s v="Telangana"/>
    <s v="Hyderabad"/>
    <s v="Retail Store"/>
    <s v="Home Office"/>
    <s v="Kavya Iyer"/>
    <s v="Electronics"/>
    <s v="Mobile"/>
    <s v="iPhone 14"/>
    <n v="5"/>
    <n v="63629"/>
    <n v="0.06"/>
    <n v="299056.3"/>
    <n v="263169.53999999998"/>
    <x v="110"/>
    <n v="0.12"/>
    <x v="1"/>
    <s v="Standard"/>
    <n v="6"/>
    <x v="1"/>
  </r>
  <r>
    <s v="ORD20250112"/>
    <s v="2025-04-21"/>
    <s v="Apr"/>
    <s v="Q2"/>
    <n v="2025"/>
    <s v="West"/>
    <s v="Goa"/>
    <s v="Panaji"/>
    <s v="Distributor"/>
    <s v="Consumer"/>
    <s v="Kavya Iyer"/>
    <s v="Grocery"/>
    <s v="Snacks"/>
    <s v="Butter Biscuits"/>
    <n v="13"/>
    <n v="57"/>
    <n v="0.14000000000000001"/>
    <n v="637.26"/>
    <n v="395.1"/>
    <x v="111"/>
    <n v="0.38"/>
    <x v="2"/>
    <s v="Standard"/>
    <n v="7"/>
    <x v="2"/>
  </r>
  <r>
    <s v="ORD20250113"/>
    <s v="2025-02-26"/>
    <s v="Feb"/>
    <s v="Q1"/>
    <n v="2025"/>
    <s v="South"/>
    <s v="Karnataka"/>
    <s v="Bengaluru"/>
    <s v="Retail Store"/>
    <s v="Consumer"/>
    <s v="Amit Sharma"/>
    <s v="Clothing"/>
    <s v="Women"/>
    <s v="Western Dress"/>
    <n v="4"/>
    <n v="3080"/>
    <n v="0.09"/>
    <n v="11211.2"/>
    <n v="6390.38"/>
    <x v="112"/>
    <n v="0.43"/>
    <x v="3"/>
    <s v="Express"/>
    <n v="3"/>
    <x v="3"/>
  </r>
  <r>
    <s v="ORD20250114"/>
    <s v="2025-09-02"/>
    <s v="Sep"/>
    <s v="Q3"/>
    <n v="2025"/>
    <s v="North"/>
    <s v="Rajasthan"/>
    <s v="Jaipur"/>
    <s v="Online"/>
    <s v="Consumer"/>
    <s v="Kavya Iyer"/>
    <s v="Furniture"/>
    <s v="Chair"/>
    <s v="Office Chair"/>
    <n v="3"/>
    <n v="5588"/>
    <n v="0.08"/>
    <n v="15422.88"/>
    <n v="11104.47"/>
    <x v="113"/>
    <n v="0.28000000000000003"/>
    <x v="1"/>
    <s v="Standard"/>
    <n v="3"/>
    <x v="0"/>
  </r>
  <r>
    <s v="ORD20250115"/>
    <s v="2025-07-22"/>
    <s v="Jul"/>
    <s v="Q3"/>
    <n v="2025"/>
    <s v="North"/>
    <s v="Rajasthan"/>
    <s v="Jaipur"/>
    <s v="Distributor"/>
    <s v="Consumer"/>
    <s v="Neha Verma"/>
    <s v="Grocery"/>
    <s v="Snacks"/>
    <s v="Potato Chips Combo"/>
    <n v="24"/>
    <n v="82"/>
    <n v="0.14000000000000001"/>
    <n v="1692.48"/>
    <n v="1083.19"/>
    <x v="114"/>
    <n v="0.36"/>
    <x v="2"/>
    <s v="Express"/>
    <n v="3"/>
    <x v="0"/>
  </r>
  <r>
    <s v="ORD20250116"/>
    <s v="2025-11-16"/>
    <s v="Nov"/>
    <s v="Q4"/>
    <n v="2025"/>
    <s v="North"/>
    <s v="Uttar Pradesh"/>
    <s v="Kanpur"/>
    <s v="Online"/>
    <s v="Corporate"/>
    <s v="Simran Kaur"/>
    <s v="Electronics"/>
    <s v="Mobile"/>
    <s v="Samsung Galaxy A54"/>
    <n v="2"/>
    <n v="22491"/>
    <n v="0.15"/>
    <n v="38234.699999999997"/>
    <n v="31352.45"/>
    <x v="115"/>
    <n v="0.18"/>
    <x v="2"/>
    <s v="Standard"/>
    <n v="3"/>
    <x v="0"/>
  </r>
  <r>
    <s v="ORD20250117"/>
    <s v="2025-04-25"/>
    <s v="Apr"/>
    <s v="Q2"/>
    <n v="2025"/>
    <s v="East"/>
    <s v="West Bengal"/>
    <s v="Siliguri"/>
    <s v="Retail Store"/>
    <s v="Home Office"/>
    <s v="Neha Verma"/>
    <s v="Electronics"/>
    <s v="Laptop"/>
    <s v="Dell Inspiron 15"/>
    <n v="3"/>
    <n v="49259"/>
    <n v="0.01"/>
    <n v="146299.23000000001"/>
    <n v="122891.35"/>
    <x v="116"/>
    <n v="0.16"/>
    <x v="3"/>
    <s v="Express"/>
    <n v="1"/>
    <x v="1"/>
  </r>
  <r>
    <s v="ORD20250118"/>
    <s v="2025-04-10"/>
    <s v="Apr"/>
    <s v="Q2"/>
    <n v="2025"/>
    <s v="North"/>
    <s v="Rajasthan"/>
    <s v="Udaipur"/>
    <s v="Online"/>
    <s v="Consumer"/>
    <s v="Kavya Iyer"/>
    <s v="Electronics"/>
    <s v="Accessories"/>
    <s v="Wireless Mouse"/>
    <n v="1"/>
    <n v="1357"/>
    <n v="0.11"/>
    <n v="1207.73"/>
    <n v="821.26"/>
    <x v="117"/>
    <n v="0.32"/>
    <x v="1"/>
    <s v="Standard"/>
    <n v="3"/>
    <x v="0"/>
  </r>
  <r>
    <s v="ORD20250119"/>
    <s v="2025-12-02"/>
    <s v="Dec"/>
    <s v="Q4"/>
    <n v="2025"/>
    <s v="East"/>
    <s v="West Bengal"/>
    <s v="Kolkata"/>
    <s v="Retail Store"/>
    <s v="Corporate"/>
    <s v="Pooja Singh"/>
    <s v="Electronics"/>
    <s v="Laptop"/>
    <s v="Dell Inspiron 15"/>
    <n v="2"/>
    <n v="48759"/>
    <n v="0.08"/>
    <n v="89716.56"/>
    <n v="75361.91"/>
    <x v="118"/>
    <n v="0.16"/>
    <x v="4"/>
    <s v="Same Day"/>
    <n v="0"/>
    <x v="1"/>
  </r>
  <r>
    <s v="ORD20250120"/>
    <s v="2025-08-14"/>
    <s v="Aug"/>
    <s v="Q3"/>
    <n v="2025"/>
    <s v="South"/>
    <s v="Karnataka"/>
    <s v="Mysuru"/>
    <s v="Online"/>
    <s v="Consumer"/>
    <s v="Rahul Mehta"/>
    <s v="Electronics"/>
    <s v="Accessories"/>
    <s v="Wireless Mouse"/>
    <n v="3"/>
    <n v="979"/>
    <n v="0.13"/>
    <n v="2555.19"/>
    <n v="1737.53"/>
    <x v="119"/>
    <n v="0.32"/>
    <x v="0"/>
    <s v="Standard"/>
    <n v="6"/>
    <x v="0"/>
  </r>
  <r>
    <s v="ORD20250121"/>
    <s v="2025-08-13"/>
    <s v="Aug"/>
    <s v="Q3"/>
    <n v="2025"/>
    <s v="East"/>
    <s v="Bihar"/>
    <s v="Patna"/>
    <s v="Online"/>
    <s v="Corporate"/>
    <s v="Amit Sharma"/>
    <s v="Furniture"/>
    <s v="Chair"/>
    <s v="Office Chair"/>
    <n v="3"/>
    <n v="7395"/>
    <n v="0.11"/>
    <n v="19744.650000000001"/>
    <n v="14216.15"/>
    <x v="120"/>
    <n v="0.28000000000000003"/>
    <x v="4"/>
    <s v="Express"/>
    <n v="1"/>
    <x v="0"/>
  </r>
  <r>
    <s v="ORD20250122"/>
    <s v="2025-06-19"/>
    <s v="Jun"/>
    <s v="Q2"/>
    <n v="2025"/>
    <s v="North"/>
    <s v="Rajasthan"/>
    <s v="Jaipur"/>
    <s v="Online"/>
    <s v="Corporate"/>
    <s v="Priya Nair"/>
    <s v="Electronics"/>
    <s v="Mobile"/>
    <s v="iPhone 14"/>
    <n v="6"/>
    <n v="63367"/>
    <n v="0.06"/>
    <n v="357389.88"/>
    <n v="314503.09000000003"/>
    <x v="121"/>
    <n v="0.12"/>
    <x v="3"/>
    <s v="Express"/>
    <n v="1"/>
    <x v="0"/>
  </r>
  <r>
    <s v="ORD20250123"/>
    <s v="2025-03-16"/>
    <s v="Mar"/>
    <s v="Q1"/>
    <n v="2025"/>
    <s v="West"/>
    <s v="Gujarat"/>
    <s v="Surat"/>
    <s v="Distributor"/>
    <s v="Consumer"/>
    <s v="Simran Kaur"/>
    <s v="Electronics"/>
    <s v="Laptop"/>
    <s v="Dell Inspiron 15"/>
    <n v="5"/>
    <n v="55301"/>
    <n v="0.11"/>
    <n v="246089.45"/>
    <n v="206715.14"/>
    <x v="122"/>
    <n v="0.16"/>
    <x v="4"/>
    <s v="Express"/>
    <n v="1"/>
    <x v="3"/>
  </r>
  <r>
    <s v="ORD20250124"/>
    <s v="2025-10-25"/>
    <s v="Oct"/>
    <s v="Q4"/>
    <n v="2025"/>
    <s v="South"/>
    <s v="Kerala"/>
    <s v="Thiruvananthapuram"/>
    <s v="Retail Store"/>
    <s v="Corporate"/>
    <s v="Arjun Patel"/>
    <s v="Clothing"/>
    <s v="Men"/>
    <s v="Formal Shirt"/>
    <n v="5"/>
    <n v="2051"/>
    <n v="0.06"/>
    <n v="9639.7000000000007"/>
    <n v="5591.03"/>
    <x v="123"/>
    <n v="0.42"/>
    <x v="1"/>
    <s v="Express"/>
    <n v="2"/>
    <x v="0"/>
  </r>
  <r>
    <s v="ORD20250125"/>
    <s v="2025-03-15"/>
    <s v="Mar"/>
    <s v="Q1"/>
    <n v="2025"/>
    <s v="South"/>
    <s v="Tamil Nadu"/>
    <s v="Coimbatore"/>
    <s v="Retail Store"/>
    <s v="Corporate"/>
    <s v="Neha Verma"/>
    <s v="Furniture"/>
    <s v="Chair"/>
    <s v="Gaming Chair"/>
    <n v="2"/>
    <n v="15412"/>
    <n v="0.04"/>
    <n v="29591.040000000001"/>
    <n v="21897.37"/>
    <x v="124"/>
    <n v="0.26"/>
    <x v="1"/>
    <s v="Express"/>
    <n v="3"/>
    <x v="1"/>
  </r>
  <r>
    <s v="ORD20250126"/>
    <s v="2025-12-19"/>
    <s v="Dec"/>
    <s v="Q4"/>
    <n v="2025"/>
    <s v="North"/>
    <s v="Rajasthan"/>
    <s v="Udaipur"/>
    <s v="Online"/>
    <s v="Home Office"/>
    <s v="Amit Sharma"/>
    <s v="Furniture"/>
    <s v="Table"/>
    <s v="Dining Table"/>
    <n v="2"/>
    <n v="21097"/>
    <n v="0.06"/>
    <n v="39662.36"/>
    <n v="30143.39"/>
    <x v="125"/>
    <n v="0.24"/>
    <x v="4"/>
    <s v="Express"/>
    <n v="1"/>
    <x v="1"/>
  </r>
  <r>
    <s v="ORD20250127"/>
    <s v="2025-06-18"/>
    <s v="Jun"/>
    <s v="Q2"/>
    <n v="2025"/>
    <s v="East"/>
    <s v="Bihar"/>
    <s v="Patna"/>
    <s v="Retail Store"/>
    <s v="Home Office"/>
    <s v="Simran Kaur"/>
    <s v="Electronics"/>
    <s v="Laptop"/>
    <s v="HP Pavilion"/>
    <n v="6"/>
    <n v="61999"/>
    <n v="0.01"/>
    <n v="368274.06"/>
    <n v="313032.95"/>
    <x v="126"/>
    <n v="0.15"/>
    <x v="1"/>
    <s v="Standard"/>
    <n v="4"/>
    <x v="0"/>
  </r>
  <r>
    <s v="ORD20250128"/>
    <s v="2025-12-25"/>
    <s v="Dec"/>
    <s v="Q4"/>
    <n v="2025"/>
    <s v="South"/>
    <s v="Kerala"/>
    <s v="Thiruvananthapuram"/>
    <s v="Online"/>
    <s v="Home Office"/>
    <s v="Kavya Iyer"/>
    <s v="Furniture"/>
    <s v="Table"/>
    <s v="Dining Table"/>
    <n v="2"/>
    <n v="19299"/>
    <n v="0.11"/>
    <n v="34352.22"/>
    <n v="26107.69"/>
    <x v="127"/>
    <n v="0.24"/>
    <x v="3"/>
    <s v="Same Day"/>
    <n v="0"/>
    <x v="0"/>
  </r>
  <r>
    <s v="ORD20250129"/>
    <s v="2025-09-09"/>
    <s v="Sep"/>
    <s v="Q3"/>
    <n v="2025"/>
    <s v="South"/>
    <s v="Tamil Nadu"/>
    <s v="Coimbatore"/>
    <s v="Retail Store"/>
    <s v="Corporate"/>
    <s v="Simran Kaur"/>
    <s v="Grocery"/>
    <s v="Snacks"/>
    <s v="Potato Chips Combo"/>
    <n v="30"/>
    <n v="79"/>
    <n v="0.1"/>
    <n v="2133"/>
    <n v="1365.12"/>
    <x v="128"/>
    <n v="0.36"/>
    <x v="1"/>
    <s v="Standard"/>
    <n v="7"/>
    <x v="0"/>
  </r>
  <r>
    <s v="ORD20250130"/>
    <s v="2025-09-25"/>
    <s v="Sep"/>
    <s v="Q3"/>
    <n v="2025"/>
    <s v="South"/>
    <s v="Telangana"/>
    <s v="Hyderabad"/>
    <s v="Distributor"/>
    <s v="Consumer"/>
    <s v="Sandeep Rao"/>
    <s v="Furniture"/>
    <s v="Table"/>
    <s v="Study Table"/>
    <n v="1"/>
    <n v="7802"/>
    <n v="0.08"/>
    <n v="7177.84"/>
    <n v="5096.2700000000004"/>
    <x v="129"/>
    <n v="0.28999999999999998"/>
    <x v="4"/>
    <s v="Same Day"/>
    <n v="0"/>
    <x v="1"/>
  </r>
  <r>
    <s v="ORD20250131"/>
    <s v="2025-02-23"/>
    <s v="Feb"/>
    <s v="Q1"/>
    <n v="2025"/>
    <s v="East"/>
    <s v="Odisha"/>
    <s v="Cuttack"/>
    <s v="Distributor"/>
    <s v="Home Office"/>
    <s v="Kavya Iyer"/>
    <s v="Grocery"/>
    <s v="Beverages"/>
    <s v="Instant Coffee Jar"/>
    <n v="7"/>
    <n v="324"/>
    <n v="0.11"/>
    <n v="2018.52"/>
    <n v="1352.41"/>
    <x v="130"/>
    <n v="0.33"/>
    <x v="2"/>
    <s v="Same Day"/>
    <n v="0"/>
    <x v="2"/>
  </r>
  <r>
    <s v="ORD20250132"/>
    <s v="2025-08-19"/>
    <s v="Aug"/>
    <s v="Q3"/>
    <n v="2025"/>
    <s v="West"/>
    <s v="Maharashtra"/>
    <s v="Pune"/>
    <s v="Distributor"/>
    <s v="Consumer"/>
    <s v="Arjun Patel"/>
    <s v="Clothing"/>
    <s v="Men"/>
    <s v="Denim Jeans"/>
    <n v="8"/>
    <n v="2073"/>
    <n v="0.13"/>
    <n v="14428.08"/>
    <n v="8656.85"/>
    <x v="131"/>
    <n v="0.4"/>
    <x v="2"/>
    <s v="Same Day"/>
    <n v="0"/>
    <x v="2"/>
  </r>
  <r>
    <s v="ORD20250133"/>
    <s v="2025-11-12"/>
    <s v="Nov"/>
    <s v="Q4"/>
    <n v="2025"/>
    <s v="North"/>
    <s v="Rajasthan"/>
    <s v="Udaipur"/>
    <s v="Retail Store"/>
    <s v="Corporate"/>
    <s v="Arjun Patel"/>
    <s v="Grocery"/>
    <s v="Beverages"/>
    <s v="Instant Coffee Jar"/>
    <n v="24"/>
    <n v="433"/>
    <n v="0.08"/>
    <n v="9560.64"/>
    <n v="6405.63"/>
    <x v="132"/>
    <n v="0.33"/>
    <x v="0"/>
    <s v="Same Day"/>
    <n v="0"/>
    <x v="1"/>
  </r>
  <r>
    <s v="ORD20250134"/>
    <s v="2025-03-07"/>
    <s v="Mar"/>
    <s v="Q1"/>
    <n v="2025"/>
    <s v="North"/>
    <s v="Punjab"/>
    <s v="Ludhiana"/>
    <s v="Retail Store"/>
    <s v="Home Office"/>
    <s v="Sandeep Rao"/>
    <s v="Electronics"/>
    <s v="Laptop"/>
    <s v="HP Pavilion"/>
    <n v="3"/>
    <n v="53150"/>
    <n v="0.02"/>
    <n v="156261"/>
    <n v="132821.85"/>
    <x v="133"/>
    <n v="0.15"/>
    <x v="1"/>
    <s v="Same Day"/>
    <n v="0"/>
    <x v="1"/>
  </r>
  <r>
    <s v="ORD20250135"/>
    <s v="2025-07-11"/>
    <s v="Jul"/>
    <s v="Q3"/>
    <n v="2025"/>
    <s v="South"/>
    <s v="Telangana"/>
    <s v="Hyderabad"/>
    <s v="Distributor"/>
    <s v="Consumer"/>
    <s v="Arjun Patel"/>
    <s v="Electronics"/>
    <s v="Laptop"/>
    <s v="Dell Inspiron 15"/>
    <n v="6"/>
    <n v="55461"/>
    <n v="0.17"/>
    <n v="276195.78000000003"/>
    <n v="232004.46"/>
    <x v="134"/>
    <n v="0.16"/>
    <x v="2"/>
    <s v="Express"/>
    <n v="2"/>
    <x v="3"/>
  </r>
  <r>
    <s v="ORD20250136"/>
    <s v="2025-10-31"/>
    <s v="Nov"/>
    <s v="Q4"/>
    <n v="2025"/>
    <s v="South"/>
    <s v="Tamil Nadu"/>
    <s v="Coimbatore"/>
    <s v="Distributor"/>
    <s v="Consumer"/>
    <s v="Rohit Jain"/>
    <s v="Electronics"/>
    <s v="Laptop"/>
    <s v="Dell Inspiron 15"/>
    <n v="4"/>
    <n v="56195"/>
    <n v="0.1"/>
    <n v="202302"/>
    <n v="169933.68"/>
    <x v="135"/>
    <n v="0.16"/>
    <x v="2"/>
    <s v="Standard"/>
    <n v="3"/>
    <x v="2"/>
  </r>
  <r>
    <s v="ORD20250137"/>
    <s v="2025-09-26"/>
    <s v="Sep"/>
    <s v="Q3"/>
    <n v="2025"/>
    <s v="East"/>
    <s v="Bihar"/>
    <s v="Patna"/>
    <s v="Retail Store"/>
    <s v="Corporate"/>
    <s v="Rohit Jain"/>
    <s v="Electronics"/>
    <s v="Accessories"/>
    <s v="Wireless Mouse"/>
    <n v="3"/>
    <n v="1483"/>
    <n v="0.04"/>
    <n v="4271.04"/>
    <n v="2904.31"/>
    <x v="136"/>
    <n v="0.32"/>
    <x v="3"/>
    <s v="Standard"/>
    <n v="7"/>
    <x v="1"/>
  </r>
  <r>
    <s v="ORD20250138"/>
    <s v="2025-05-01"/>
    <s v="May"/>
    <s v="Q2"/>
    <n v="2025"/>
    <s v="West"/>
    <s v="Gujarat"/>
    <s v="Surat"/>
    <s v="Retail Store"/>
    <s v="Corporate"/>
    <s v="Rahul Mehta"/>
    <s v="Furniture"/>
    <s v="Table"/>
    <s v="Study Table"/>
    <n v="3"/>
    <n v="5335"/>
    <n v="0.09"/>
    <n v="14564.55"/>
    <n v="10340.83"/>
    <x v="137"/>
    <n v="0.28999999999999998"/>
    <x v="0"/>
    <s v="Standard"/>
    <n v="3"/>
    <x v="0"/>
  </r>
  <r>
    <s v="ORD20250139"/>
    <s v="2025-07-25"/>
    <s v="Jul"/>
    <s v="Q3"/>
    <n v="2025"/>
    <s v="West"/>
    <s v="Goa"/>
    <s v="Panaji"/>
    <s v="Retail Store"/>
    <s v="Home Office"/>
    <s v="Rohit Jain"/>
    <s v="Electronics"/>
    <s v="Mobile"/>
    <s v="iPhone 14"/>
    <n v="4"/>
    <n v="64081"/>
    <n v="7.0000000000000007E-2"/>
    <n v="238381.32"/>
    <n v="209775.56"/>
    <x v="138"/>
    <n v="0.12"/>
    <x v="3"/>
    <s v="Standard"/>
    <n v="7"/>
    <x v="0"/>
  </r>
  <r>
    <s v="ORD20250140"/>
    <s v="2025-01-09"/>
    <s v="Jan"/>
    <s v="Q1"/>
    <n v="2025"/>
    <s v="South"/>
    <s v="Karnataka"/>
    <s v="Mysuru"/>
    <s v="Distributor"/>
    <s v="Corporate"/>
    <s v="Arjun Patel"/>
    <s v="Grocery"/>
    <s v="Snacks"/>
    <s v="Potato Chips Combo"/>
    <n v="21"/>
    <n v="103"/>
    <n v="0.14000000000000001"/>
    <n v="1860.18"/>
    <n v="1190.52"/>
    <x v="139"/>
    <n v="0.36"/>
    <x v="1"/>
    <s v="Same Day"/>
    <n v="0"/>
    <x v="0"/>
  </r>
  <r>
    <s v="ORD20250141"/>
    <s v="2025-05-26"/>
    <s v="May"/>
    <s v="Q2"/>
    <n v="2025"/>
    <s v="East"/>
    <s v="West Bengal"/>
    <s v="Siliguri"/>
    <s v="Online"/>
    <s v="Corporate"/>
    <s v="Simran Kaur"/>
    <s v="Clothing"/>
    <s v="Men"/>
    <s v="Denim Jeans"/>
    <n v="2"/>
    <n v="1421"/>
    <n v="0.1"/>
    <n v="2557.8000000000002"/>
    <n v="1534.68"/>
    <x v="140"/>
    <n v="0.4"/>
    <x v="3"/>
    <s v="Same Day"/>
    <n v="0"/>
    <x v="2"/>
  </r>
  <r>
    <s v="ORD20250142"/>
    <s v="2025-09-04"/>
    <s v="Sep"/>
    <s v="Q3"/>
    <n v="2025"/>
    <s v="North"/>
    <s v="Uttar Pradesh"/>
    <s v="Lucknow"/>
    <s v="Online"/>
    <s v="Corporate"/>
    <s v="Kavya Iyer"/>
    <s v="Grocery"/>
    <s v="Snacks"/>
    <s v="Butter Biscuits"/>
    <n v="26"/>
    <n v="120"/>
    <n v="0.1"/>
    <n v="2808"/>
    <n v="1740.96"/>
    <x v="141"/>
    <n v="0.38"/>
    <x v="1"/>
    <s v="Same Day"/>
    <n v="0"/>
    <x v="0"/>
  </r>
  <r>
    <s v="ORD20250143"/>
    <s v="2025-10-26"/>
    <s v="Oct"/>
    <s v="Q4"/>
    <n v="2025"/>
    <s v="South"/>
    <s v="Kerala"/>
    <s v="Kochi"/>
    <s v="Distributor"/>
    <s v="Home Office"/>
    <s v="Pooja Singh"/>
    <s v="Grocery"/>
    <s v="Snacks"/>
    <s v="Potato Chips Combo"/>
    <n v="13"/>
    <n v="156"/>
    <n v="0.12"/>
    <n v="1784.64"/>
    <n v="1142.17"/>
    <x v="142"/>
    <n v="0.36"/>
    <x v="3"/>
    <s v="Same Day"/>
    <n v="0"/>
    <x v="0"/>
  </r>
  <r>
    <s v="ORD20250144"/>
    <s v="2025-02-04"/>
    <s v="Feb"/>
    <s v="Q1"/>
    <n v="2025"/>
    <s v="South"/>
    <s v="Karnataka"/>
    <s v="Bengaluru"/>
    <s v="Retail Store"/>
    <s v="Home Office"/>
    <s v="Neha Verma"/>
    <s v="Electronics"/>
    <s v="Mobile"/>
    <s v="Samsung Galaxy A54"/>
    <n v="2"/>
    <n v="24065"/>
    <n v="0.05"/>
    <n v="45723.5"/>
    <n v="37493.269999999997"/>
    <x v="143"/>
    <n v="0.18"/>
    <x v="0"/>
    <s v="Express"/>
    <n v="1"/>
    <x v="1"/>
  </r>
  <r>
    <s v="ORD20250145"/>
    <s v="2025-10-08"/>
    <s v="Oct"/>
    <s v="Q4"/>
    <n v="2025"/>
    <s v="North"/>
    <s v="Rajasthan"/>
    <s v="Udaipur"/>
    <s v="Retail Store"/>
    <s v="Home Office"/>
    <s v="Neha Verma"/>
    <s v="Electronics"/>
    <s v="Laptop"/>
    <s v="Dell Inspiron 15"/>
    <n v="6"/>
    <n v="59510"/>
    <n v="0"/>
    <n v="357060"/>
    <n v="299930.40000000002"/>
    <x v="144"/>
    <n v="0.16"/>
    <x v="4"/>
    <s v="Express"/>
    <n v="2"/>
    <x v="1"/>
  </r>
  <r>
    <s v="ORD20250146"/>
    <s v="2025-10-13"/>
    <s v="Oct"/>
    <s v="Q4"/>
    <n v="2025"/>
    <s v="West"/>
    <s v="Goa"/>
    <s v="Panaji"/>
    <s v="Retail Store"/>
    <s v="Corporate"/>
    <s v="Priya Nair"/>
    <s v="Electronics"/>
    <s v="Accessories"/>
    <s v="Wireless Mouse"/>
    <n v="2"/>
    <n v="956"/>
    <n v="0.08"/>
    <n v="1759.04"/>
    <n v="1196.1500000000001"/>
    <x v="145"/>
    <n v="0.32"/>
    <x v="3"/>
    <s v="Same Day"/>
    <n v="0"/>
    <x v="2"/>
  </r>
  <r>
    <s v="ORD20250147"/>
    <s v="2025-05-20"/>
    <s v="May"/>
    <s v="Q2"/>
    <n v="2025"/>
    <s v="South"/>
    <s v="Kerala"/>
    <s v="Thiruvananthapuram"/>
    <s v="Distributor"/>
    <s v="Consumer"/>
    <s v="Sandeep Rao"/>
    <s v="Grocery"/>
    <s v="Beverages"/>
    <s v="Instant Coffee Jar"/>
    <n v="8"/>
    <n v="389"/>
    <n v="0.11"/>
    <n v="2769.68"/>
    <n v="1855.69"/>
    <x v="146"/>
    <n v="0.33"/>
    <x v="4"/>
    <s v="Standard"/>
    <n v="7"/>
    <x v="0"/>
  </r>
  <r>
    <s v="ORD20250148"/>
    <s v="2025-09-10"/>
    <s v="Sep"/>
    <s v="Q3"/>
    <n v="2025"/>
    <s v="East"/>
    <s v="Bihar"/>
    <s v="Patna"/>
    <s v="Online"/>
    <s v="Home Office"/>
    <s v="Rohit Jain"/>
    <s v="Furniture"/>
    <s v="Chair"/>
    <s v="Office Chair"/>
    <n v="1"/>
    <n v="5850"/>
    <n v="0.12"/>
    <n v="5148"/>
    <n v="3706.56"/>
    <x v="147"/>
    <n v="0.28000000000000003"/>
    <x v="0"/>
    <s v="Same Day"/>
    <n v="0"/>
    <x v="0"/>
  </r>
  <r>
    <s v="ORD20250149"/>
    <s v="2025-10-11"/>
    <s v="Oct"/>
    <s v="Q4"/>
    <n v="2025"/>
    <s v="West"/>
    <s v="Goa"/>
    <s v="Panaji"/>
    <s v="Online"/>
    <s v="Consumer"/>
    <s v="Simran Kaur"/>
    <s v="Furniture"/>
    <s v="Table"/>
    <s v="Study Table"/>
    <n v="3"/>
    <n v="5921"/>
    <n v="0.13"/>
    <n v="15453.81"/>
    <n v="10972.21"/>
    <x v="148"/>
    <n v="0.28999999999999998"/>
    <x v="0"/>
    <s v="Standard"/>
    <n v="3"/>
    <x v="0"/>
  </r>
  <r>
    <s v="ORD20250150"/>
    <s v="2025-03-23"/>
    <s v="Mar"/>
    <s v="Q1"/>
    <n v="2025"/>
    <s v="West"/>
    <s v="Maharashtra"/>
    <s v="Nagpur"/>
    <s v="Distributor"/>
    <s v="Corporate"/>
    <s v="Sandeep Rao"/>
    <s v="Electronics"/>
    <s v="Mobile"/>
    <s v="Samsung Galaxy A54"/>
    <n v="4"/>
    <n v="23000"/>
    <n v="0.08"/>
    <n v="84640"/>
    <n v="69404.800000000003"/>
    <x v="149"/>
    <n v="0.18"/>
    <x v="1"/>
    <s v="Express"/>
    <n v="3"/>
    <x v="1"/>
  </r>
  <r>
    <s v="ORD20250151"/>
    <s v="2025-12-19"/>
    <s v="Dec"/>
    <s v="Q4"/>
    <n v="2025"/>
    <s v="North"/>
    <s v="Punjab"/>
    <s v="Amritsar"/>
    <s v="Distributor"/>
    <s v="Home Office"/>
    <s v="Arjun Patel"/>
    <s v="Clothing"/>
    <s v="Men"/>
    <s v="Formal Shirt"/>
    <n v="9"/>
    <n v="1978"/>
    <n v="0.14000000000000001"/>
    <n v="15309.72"/>
    <n v="8879.64"/>
    <x v="150"/>
    <n v="0.42"/>
    <x v="0"/>
    <s v="Standard"/>
    <n v="3"/>
    <x v="1"/>
  </r>
  <r>
    <s v="ORD20250152"/>
    <s v="2025-12-21"/>
    <s v="Dec"/>
    <s v="Q4"/>
    <n v="2025"/>
    <s v="North"/>
    <s v="Rajasthan"/>
    <s v="Udaipur"/>
    <s v="Distributor"/>
    <s v="Corporate"/>
    <s v="Priya Nair"/>
    <s v="Electronics"/>
    <s v="Mobile"/>
    <s v="iPhone 14"/>
    <n v="6"/>
    <n v="70732"/>
    <n v="0.12"/>
    <n v="373464.96"/>
    <n v="328649.15999999997"/>
    <x v="151"/>
    <n v="0.12"/>
    <x v="0"/>
    <s v="Same Day"/>
    <n v="0"/>
    <x v="1"/>
  </r>
  <r>
    <s v="ORD20250153"/>
    <s v="2025-02-03"/>
    <s v="Feb"/>
    <s v="Q1"/>
    <n v="2025"/>
    <s v="East"/>
    <s v="Bihar"/>
    <s v="Patna"/>
    <s v="Online"/>
    <s v="Home Office"/>
    <s v="Neha Verma"/>
    <s v="Grocery"/>
    <s v="Beverages"/>
    <s v="Instant Coffee Jar"/>
    <n v="17"/>
    <n v="397"/>
    <n v="0.15"/>
    <n v="5736.65"/>
    <n v="3843.56"/>
    <x v="152"/>
    <n v="0.33"/>
    <x v="1"/>
    <s v="Standard"/>
    <n v="5"/>
    <x v="3"/>
  </r>
  <r>
    <s v="ORD20250154"/>
    <s v="2025-10-10"/>
    <s v="Oct"/>
    <s v="Q4"/>
    <n v="2025"/>
    <s v="South"/>
    <s v="Karnataka"/>
    <s v="Bengaluru"/>
    <s v="Distributor"/>
    <s v="Corporate"/>
    <s v="Kavya Iyer"/>
    <s v="Clothing"/>
    <s v="Men"/>
    <s v="Formal Shirt"/>
    <n v="4"/>
    <n v="2107"/>
    <n v="0.13"/>
    <n v="7332.36"/>
    <n v="4252.7700000000004"/>
    <x v="153"/>
    <n v="0.42"/>
    <x v="2"/>
    <s v="Standard"/>
    <n v="6"/>
    <x v="0"/>
  </r>
  <r>
    <s v="ORD20250155"/>
    <s v="2025-04-17"/>
    <s v="Apr"/>
    <s v="Q2"/>
    <n v="2025"/>
    <s v="South"/>
    <s v="Tamil Nadu"/>
    <s v="Chennai"/>
    <s v="Retail Store"/>
    <s v="Home Office"/>
    <s v="Simran Kaur"/>
    <s v="Clothing"/>
    <s v="Women"/>
    <s v="Western Dress"/>
    <n v="11"/>
    <n v="3606"/>
    <n v="0.06"/>
    <n v="37286.04"/>
    <n v="21253.040000000001"/>
    <x v="154"/>
    <n v="0.43"/>
    <x v="2"/>
    <s v="Standard"/>
    <n v="6"/>
    <x v="1"/>
  </r>
  <r>
    <s v="ORD20250156"/>
    <s v="2025-11-27"/>
    <s v="Nov"/>
    <s v="Q4"/>
    <n v="2025"/>
    <s v="East"/>
    <s v="Odisha"/>
    <s v="Bhubaneswar"/>
    <s v="Retail Store"/>
    <s v="Corporate"/>
    <s v="Rohit Jain"/>
    <s v="Furniture"/>
    <s v="Table"/>
    <s v="Study Table"/>
    <n v="2"/>
    <n v="7461"/>
    <n v="0.04"/>
    <n v="14325.12"/>
    <n v="10170.84"/>
    <x v="155"/>
    <n v="0.28999999999999998"/>
    <x v="2"/>
    <s v="Express"/>
    <n v="2"/>
    <x v="1"/>
  </r>
  <r>
    <s v="ORD20250157"/>
    <s v="2025-03-11"/>
    <s v="Mar"/>
    <s v="Q1"/>
    <n v="2025"/>
    <s v="North"/>
    <s v="Rajasthan"/>
    <s v="Jaipur"/>
    <s v="Distributor"/>
    <s v="Consumer"/>
    <s v="Amit Sharma"/>
    <s v="Furniture"/>
    <s v="Chair"/>
    <s v="Office Chair"/>
    <n v="2"/>
    <n v="6131"/>
    <n v="0.1"/>
    <n v="11035.8"/>
    <n v="7945.78"/>
    <x v="156"/>
    <n v="0.28000000000000003"/>
    <x v="0"/>
    <s v="Standard"/>
    <n v="4"/>
    <x v="0"/>
  </r>
  <r>
    <s v="ORD20250158"/>
    <s v="2025-06-15"/>
    <s v="Jun"/>
    <s v="Q2"/>
    <n v="2025"/>
    <s v="East"/>
    <s v="West Bengal"/>
    <s v="Siliguri"/>
    <s v="Retail Store"/>
    <s v="Corporate"/>
    <s v="Amit Sharma"/>
    <s v="Electronics"/>
    <s v="Mobile"/>
    <s v="Samsung Galaxy A54"/>
    <n v="1"/>
    <n v="27545"/>
    <n v="0.03"/>
    <n v="26718.65"/>
    <n v="21909.29"/>
    <x v="157"/>
    <n v="0.18"/>
    <x v="3"/>
    <s v="Express"/>
    <n v="1"/>
    <x v="3"/>
  </r>
  <r>
    <s v="ORD20250159"/>
    <s v="2025-02-06"/>
    <s v="Feb"/>
    <s v="Q1"/>
    <n v="2025"/>
    <s v="East"/>
    <s v="Bihar"/>
    <s v="Patna"/>
    <s v="Distributor"/>
    <s v="Corporate"/>
    <s v="Rahul Mehta"/>
    <s v="Electronics"/>
    <s v="Accessories"/>
    <s v="Mechanical Keyboard"/>
    <n v="5"/>
    <n v="4179"/>
    <n v="0.1"/>
    <n v="18805.5"/>
    <n v="13163.85"/>
    <x v="158"/>
    <n v="0.3"/>
    <x v="4"/>
    <s v="Standard"/>
    <n v="5"/>
    <x v="2"/>
  </r>
  <r>
    <s v="ORD20250160"/>
    <s v="2025-11-13"/>
    <s v="Nov"/>
    <s v="Q4"/>
    <n v="2025"/>
    <s v="North"/>
    <s v="Punjab"/>
    <s v="Amritsar"/>
    <s v="Online"/>
    <s v="Home Office"/>
    <s v="Sandeep Rao"/>
    <s v="Furniture"/>
    <s v="Table"/>
    <s v="Study Table"/>
    <n v="3"/>
    <n v="6366"/>
    <n v="0.15"/>
    <n v="16233.3"/>
    <n v="11525.64"/>
    <x v="159"/>
    <n v="0.28999999999999998"/>
    <x v="1"/>
    <s v="Same Day"/>
    <n v="0"/>
    <x v="1"/>
  </r>
  <r>
    <s v="ORD20250161"/>
    <s v="2025-04-16"/>
    <s v="Apr"/>
    <s v="Q2"/>
    <n v="2025"/>
    <s v="South"/>
    <s v="Tamil Nadu"/>
    <s v="Coimbatore"/>
    <s v="Online"/>
    <s v="Corporate"/>
    <s v="Sandeep Rao"/>
    <s v="Electronics"/>
    <s v="Mobile"/>
    <s v="Samsung Galaxy A54"/>
    <n v="2"/>
    <n v="23245"/>
    <n v="0.11"/>
    <n v="41376.1"/>
    <n v="33928.400000000001"/>
    <x v="160"/>
    <n v="0.18"/>
    <x v="1"/>
    <s v="Express"/>
    <n v="3"/>
    <x v="0"/>
  </r>
  <r>
    <s v="ORD20250162"/>
    <s v="2025-08-24"/>
    <s v="Aug"/>
    <s v="Q3"/>
    <n v="2025"/>
    <s v="East"/>
    <s v="Bihar"/>
    <s v="Patna"/>
    <s v="Distributor"/>
    <s v="Consumer"/>
    <s v="Kavya Iyer"/>
    <s v="Grocery"/>
    <s v="Beverages"/>
    <s v="Instant Coffee Jar"/>
    <n v="6"/>
    <n v="277"/>
    <n v="0.18"/>
    <n v="1362.84"/>
    <n v="913.1"/>
    <x v="161"/>
    <n v="0.33"/>
    <x v="4"/>
    <s v="Express"/>
    <n v="3"/>
    <x v="0"/>
  </r>
  <r>
    <s v="ORD20250163"/>
    <s v="2025-03-16"/>
    <s v="Mar"/>
    <s v="Q1"/>
    <n v="2025"/>
    <s v="North"/>
    <s v="Rajasthan"/>
    <s v="Udaipur"/>
    <s v="Distributor"/>
    <s v="Corporate"/>
    <s v="Sandeep Rao"/>
    <s v="Furniture"/>
    <s v="Chair"/>
    <s v="Gaming Chair"/>
    <n v="3"/>
    <n v="10436"/>
    <n v="0.16"/>
    <n v="26298.720000000001"/>
    <n v="19461.05"/>
    <x v="162"/>
    <n v="0.26"/>
    <x v="0"/>
    <s v="Standard"/>
    <n v="7"/>
    <x v="2"/>
  </r>
  <r>
    <s v="ORD20250164"/>
    <s v="2025-05-25"/>
    <s v="May"/>
    <s v="Q2"/>
    <n v="2025"/>
    <s v="East"/>
    <s v="Bihar"/>
    <s v="Patna"/>
    <s v="Retail Store"/>
    <s v="Home Office"/>
    <s v="Sandeep Rao"/>
    <s v="Clothing"/>
    <s v="Men"/>
    <s v="Denim Jeans"/>
    <n v="11"/>
    <n v="1661"/>
    <n v="0.02"/>
    <n v="17905.580000000002"/>
    <n v="10743.35"/>
    <x v="163"/>
    <n v="0.4"/>
    <x v="4"/>
    <s v="Standard"/>
    <n v="4"/>
    <x v="3"/>
  </r>
  <r>
    <s v="ORD20250165"/>
    <s v="2025-07-19"/>
    <s v="Jul"/>
    <s v="Q3"/>
    <n v="2025"/>
    <s v="East"/>
    <s v="Bihar"/>
    <s v="Patna"/>
    <s v="Distributor"/>
    <s v="Consumer"/>
    <s v="Neha Verma"/>
    <s v="Furniture"/>
    <s v="Chair"/>
    <s v="Office Chair"/>
    <n v="2"/>
    <n v="5469"/>
    <n v="0.14000000000000001"/>
    <n v="9406.68"/>
    <n v="6772.81"/>
    <x v="164"/>
    <n v="0.28000000000000003"/>
    <x v="4"/>
    <s v="Express"/>
    <n v="1"/>
    <x v="2"/>
  </r>
  <r>
    <s v="ORD20250166"/>
    <s v="2025-03-06"/>
    <s v="Mar"/>
    <s v="Q1"/>
    <n v="2025"/>
    <s v="North"/>
    <s v="Rajasthan"/>
    <s v="Udaipur"/>
    <s v="Online"/>
    <s v="Corporate"/>
    <s v="Arjun Patel"/>
    <s v="Furniture"/>
    <s v="Chair"/>
    <s v="Office Chair"/>
    <n v="1"/>
    <n v="5034"/>
    <n v="0.08"/>
    <n v="4631.28"/>
    <n v="3334.52"/>
    <x v="165"/>
    <n v="0.28000000000000003"/>
    <x v="3"/>
    <s v="Express"/>
    <n v="2"/>
    <x v="1"/>
  </r>
  <r>
    <s v="ORD20250167"/>
    <s v="2025-04-15"/>
    <s v="Apr"/>
    <s v="Q2"/>
    <n v="2025"/>
    <s v="East"/>
    <s v="West Bengal"/>
    <s v="Kolkata"/>
    <s v="Retail Store"/>
    <s v="Consumer"/>
    <s v="Priya Nair"/>
    <s v="Grocery"/>
    <s v="Snacks"/>
    <s v="Potato Chips Combo"/>
    <n v="25"/>
    <n v="161"/>
    <n v="0.01"/>
    <n v="3984.75"/>
    <n v="2550.2399999999998"/>
    <x v="166"/>
    <n v="0.36"/>
    <x v="1"/>
    <s v="Standard"/>
    <n v="7"/>
    <x v="0"/>
  </r>
  <r>
    <s v="ORD20250168"/>
    <s v="2025-01-02"/>
    <s v="Jan"/>
    <s v="Q1"/>
    <n v="2025"/>
    <s v="East"/>
    <s v="West Bengal"/>
    <s v="Siliguri"/>
    <s v="Distributor"/>
    <s v="Consumer"/>
    <s v="Pooja Singh"/>
    <s v="Furniture"/>
    <s v="Chair"/>
    <s v="Gaming Chair"/>
    <n v="2"/>
    <n v="14061"/>
    <n v="0.11"/>
    <n v="25028.58"/>
    <n v="18521.150000000001"/>
    <x v="167"/>
    <n v="0.26"/>
    <x v="1"/>
    <s v="Same Day"/>
    <n v="0"/>
    <x v="0"/>
  </r>
  <r>
    <s v="ORD20250169"/>
    <s v="2025-11-18"/>
    <s v="Nov"/>
    <s v="Q4"/>
    <n v="2025"/>
    <s v="East"/>
    <s v="Odisha"/>
    <s v="Bhubaneswar"/>
    <s v="Distributor"/>
    <s v="Home Office"/>
    <s v="Sandeep Rao"/>
    <s v="Furniture"/>
    <s v="Chair"/>
    <s v="Gaming Chair"/>
    <n v="3"/>
    <n v="15707"/>
    <n v="0.12"/>
    <n v="41466.480000000003"/>
    <n v="30685.200000000001"/>
    <x v="168"/>
    <n v="0.26"/>
    <x v="0"/>
    <s v="Same Day"/>
    <n v="0"/>
    <x v="0"/>
  </r>
  <r>
    <s v="ORD20250170"/>
    <s v="2025-05-18"/>
    <s v="May"/>
    <s v="Q2"/>
    <n v="2025"/>
    <s v="West"/>
    <s v="Gujarat"/>
    <s v="Surat"/>
    <s v="Distributor"/>
    <s v="Consumer"/>
    <s v="Neha Verma"/>
    <s v="Grocery"/>
    <s v="Snacks"/>
    <s v="Butter Biscuits"/>
    <n v="8"/>
    <n v="64"/>
    <n v="0.18"/>
    <n v="419.84"/>
    <n v="260.3"/>
    <x v="169"/>
    <n v="0.38"/>
    <x v="1"/>
    <s v="Same Day"/>
    <n v="0"/>
    <x v="3"/>
  </r>
  <r>
    <s v="ORD20250171"/>
    <s v="2025-03-05"/>
    <s v="Mar"/>
    <s v="Q1"/>
    <n v="2025"/>
    <s v="West"/>
    <s v="Goa"/>
    <s v="Panaji"/>
    <s v="Distributor"/>
    <s v="Corporate"/>
    <s v="Pooja Singh"/>
    <s v="Grocery"/>
    <s v="Beverages"/>
    <s v="Premium Tea Pack"/>
    <n v="9"/>
    <n v="327"/>
    <n v="0.13"/>
    <n v="2560.41"/>
    <n v="1689.87"/>
    <x v="170"/>
    <n v="0.34"/>
    <x v="3"/>
    <s v="Express"/>
    <n v="1"/>
    <x v="1"/>
  </r>
  <r>
    <s v="ORD20250172"/>
    <s v="2025-12-12"/>
    <s v="Dec"/>
    <s v="Q4"/>
    <n v="2025"/>
    <s v="South"/>
    <s v="Karnataka"/>
    <s v="Bengaluru"/>
    <s v="Distributor"/>
    <s v="Consumer"/>
    <s v="Kavya Iyer"/>
    <s v="Electronics"/>
    <s v="Accessories"/>
    <s v="Mechanical Keyboard"/>
    <n v="4"/>
    <n v="1932"/>
    <n v="0.09"/>
    <n v="7032.48"/>
    <n v="4922.74"/>
    <x v="171"/>
    <n v="0.3"/>
    <x v="1"/>
    <s v="Standard"/>
    <n v="7"/>
    <x v="0"/>
  </r>
  <r>
    <s v="ORD20250173"/>
    <s v="2025-02-04"/>
    <s v="Feb"/>
    <s v="Q1"/>
    <n v="2025"/>
    <s v="North"/>
    <s v="Rajasthan"/>
    <s v="Udaipur"/>
    <s v="Online"/>
    <s v="Corporate"/>
    <s v="Arjun Patel"/>
    <s v="Electronics"/>
    <s v="Accessories"/>
    <s v="Wireless Mouse"/>
    <n v="6"/>
    <n v="1492"/>
    <n v="0.11"/>
    <n v="7967.28"/>
    <n v="5417.75"/>
    <x v="172"/>
    <n v="0.32"/>
    <x v="3"/>
    <s v="Express"/>
    <n v="1"/>
    <x v="0"/>
  </r>
  <r>
    <s v="ORD20250174"/>
    <s v="2025-08-15"/>
    <s v="Aug"/>
    <s v="Q3"/>
    <n v="2025"/>
    <s v="West"/>
    <s v="Gujarat"/>
    <s v="Surat"/>
    <s v="Distributor"/>
    <s v="Corporate"/>
    <s v="Simran Kaur"/>
    <s v="Clothing"/>
    <s v="Men"/>
    <s v="Formal Shirt"/>
    <n v="10"/>
    <n v="1560"/>
    <n v="0.08"/>
    <n v="14352"/>
    <n v="8324.16"/>
    <x v="173"/>
    <n v="0.42"/>
    <x v="3"/>
    <s v="Standard"/>
    <n v="7"/>
    <x v="0"/>
  </r>
  <r>
    <s v="ORD20250175"/>
    <s v="2025-07-24"/>
    <s v="Jul"/>
    <s v="Q3"/>
    <n v="2025"/>
    <s v="North"/>
    <s v="Rajasthan"/>
    <s v="Jaipur"/>
    <s v="Online"/>
    <s v="Corporate"/>
    <s v="Sandeep Rao"/>
    <s v="Electronics"/>
    <s v="Laptop"/>
    <s v="Dell Inspiron 15"/>
    <n v="3"/>
    <n v="53423"/>
    <n v="0.15"/>
    <n v="136228.65"/>
    <n v="114432.07"/>
    <x v="174"/>
    <n v="0.16"/>
    <x v="2"/>
    <s v="Standard"/>
    <n v="7"/>
    <x v="2"/>
  </r>
  <r>
    <s v="ORD20250176"/>
    <s v="2025-03-11"/>
    <s v="Mar"/>
    <s v="Q1"/>
    <n v="2025"/>
    <s v="North"/>
    <s v="Delhi"/>
    <s v="New Delhi"/>
    <s v="Retail Store"/>
    <s v="Corporate"/>
    <s v="Neha Verma"/>
    <s v="Clothing"/>
    <s v="Men"/>
    <s v="Denim Jeans"/>
    <n v="7"/>
    <n v="2290"/>
    <n v="0.04"/>
    <n v="15388.8"/>
    <n v="9233.2800000000007"/>
    <x v="175"/>
    <n v="0.4"/>
    <x v="2"/>
    <s v="Express"/>
    <n v="3"/>
    <x v="0"/>
  </r>
  <r>
    <s v="ORD20250177"/>
    <s v="2025-02-10"/>
    <s v="Feb"/>
    <s v="Q1"/>
    <n v="2025"/>
    <s v="South"/>
    <s v="Tamil Nadu"/>
    <s v="Chennai"/>
    <s v="Retail Store"/>
    <s v="Consumer"/>
    <s v="Simran Kaur"/>
    <s v="Furniture"/>
    <s v="Table"/>
    <s v="Dining Table"/>
    <n v="2"/>
    <n v="27337"/>
    <n v="0.03"/>
    <n v="53033.78"/>
    <n v="40305.67"/>
    <x v="176"/>
    <n v="0.24"/>
    <x v="1"/>
    <s v="Standard"/>
    <n v="5"/>
    <x v="2"/>
  </r>
  <r>
    <s v="ORD20250178"/>
    <s v="2025-08-25"/>
    <s v="Aug"/>
    <s v="Q3"/>
    <n v="2025"/>
    <s v="West"/>
    <s v="Goa"/>
    <s v="Panaji"/>
    <s v="Distributor"/>
    <s v="Consumer"/>
    <s v="Rohit Jain"/>
    <s v="Clothing"/>
    <s v="Women"/>
    <s v="Silk Saree"/>
    <n v="6"/>
    <n v="3488"/>
    <n v="0.18"/>
    <n v="17160.96"/>
    <n v="10811.4"/>
    <x v="177"/>
    <n v="0.37"/>
    <x v="3"/>
    <s v="Standard"/>
    <n v="5"/>
    <x v="0"/>
  </r>
  <r>
    <s v="ORD20250179"/>
    <s v="2025-07-24"/>
    <s v="Jul"/>
    <s v="Q3"/>
    <n v="2025"/>
    <s v="South"/>
    <s v="Tamil Nadu"/>
    <s v="Chennai"/>
    <s v="Online"/>
    <s v="Corporate"/>
    <s v="Simran Kaur"/>
    <s v="Electronics"/>
    <s v="Accessories"/>
    <s v="Wireless Mouse"/>
    <n v="4"/>
    <n v="1482"/>
    <n v="0.06"/>
    <n v="5572.32"/>
    <n v="3789.18"/>
    <x v="178"/>
    <n v="0.32"/>
    <x v="0"/>
    <s v="Express"/>
    <n v="3"/>
    <x v="2"/>
  </r>
  <r>
    <s v="ORD20250180"/>
    <s v="2025-07-09"/>
    <s v="Jul"/>
    <s v="Q3"/>
    <n v="2025"/>
    <s v="North"/>
    <s v="Delhi"/>
    <s v="New Delhi"/>
    <s v="Online"/>
    <s v="Consumer"/>
    <s v="Rohit Jain"/>
    <s v="Clothing"/>
    <s v="Women"/>
    <s v="Silk Saree"/>
    <n v="10"/>
    <n v="4689"/>
    <n v="0.14000000000000001"/>
    <n v="40325.4"/>
    <n v="25405"/>
    <x v="179"/>
    <n v="0.37"/>
    <x v="0"/>
    <s v="Express"/>
    <n v="2"/>
    <x v="0"/>
  </r>
  <r>
    <s v="ORD20250181"/>
    <s v="2025-10-12"/>
    <s v="Oct"/>
    <s v="Q4"/>
    <n v="2025"/>
    <s v="North"/>
    <s v="Delhi"/>
    <s v="New Delhi"/>
    <s v="Distributor"/>
    <s v="Home Office"/>
    <s v="Amit Sharma"/>
    <s v="Clothing"/>
    <s v="Men"/>
    <s v="Denim Jeans"/>
    <n v="8"/>
    <n v="2091"/>
    <n v="0.18"/>
    <n v="13716.96"/>
    <n v="8230.18"/>
    <x v="180"/>
    <n v="0.4"/>
    <x v="1"/>
    <s v="Express"/>
    <n v="1"/>
    <x v="0"/>
  </r>
  <r>
    <s v="ORD20250182"/>
    <s v="2024-12-31"/>
    <s v="Jan"/>
    <s v="Q1"/>
    <n v="2025"/>
    <s v="North"/>
    <s v="Rajasthan"/>
    <s v="Udaipur"/>
    <s v="Online"/>
    <s v="Home Office"/>
    <s v="Arjun Patel"/>
    <s v="Furniture"/>
    <s v="Table"/>
    <s v="Study Table"/>
    <n v="2"/>
    <n v="10712"/>
    <n v="0.12"/>
    <n v="18853.12"/>
    <n v="13385.72"/>
    <x v="181"/>
    <n v="0.28999999999999998"/>
    <x v="3"/>
    <s v="Same Day"/>
    <n v="0"/>
    <x v="0"/>
  </r>
  <r>
    <s v="ORD20250183"/>
    <s v="2025-12-27"/>
    <s v="Dec"/>
    <s v="Q4"/>
    <n v="2025"/>
    <s v="East"/>
    <s v="West Bengal"/>
    <s v="Siliguri"/>
    <s v="Online"/>
    <s v="Consumer"/>
    <s v="Rahul Mehta"/>
    <s v="Grocery"/>
    <s v="Beverages"/>
    <s v="Instant Coffee Jar"/>
    <n v="16"/>
    <n v="452"/>
    <n v="0.1"/>
    <n v="6508.8"/>
    <n v="4360.8999999999996"/>
    <x v="182"/>
    <n v="0.33"/>
    <x v="1"/>
    <s v="Same Day"/>
    <n v="0"/>
    <x v="0"/>
  </r>
  <r>
    <s v="ORD20250184"/>
    <s v="2025-08-02"/>
    <s v="Aug"/>
    <s v="Q3"/>
    <n v="2025"/>
    <s v="West"/>
    <s v="Gujarat"/>
    <s v="Ahmedabad"/>
    <s v="Online"/>
    <s v="Corporate"/>
    <s v="Neha Verma"/>
    <s v="Electronics"/>
    <s v="Mobile"/>
    <s v="Samsung Galaxy A54"/>
    <n v="5"/>
    <n v="30800"/>
    <n v="0.08"/>
    <n v="141680"/>
    <n v="116177.60000000001"/>
    <x v="183"/>
    <n v="0.18"/>
    <x v="4"/>
    <s v="Express"/>
    <n v="3"/>
    <x v="0"/>
  </r>
  <r>
    <s v="ORD20250185"/>
    <s v="2025-06-24"/>
    <s v="Jun"/>
    <s v="Q2"/>
    <n v="2025"/>
    <s v="South"/>
    <s v="Tamil Nadu"/>
    <s v="Coimbatore"/>
    <s v="Distributor"/>
    <s v="Consumer"/>
    <s v="Pooja Singh"/>
    <s v="Electronics"/>
    <s v="Mobile"/>
    <s v="iPhone 14"/>
    <n v="2"/>
    <n v="59730"/>
    <n v="0.15"/>
    <n v="101541"/>
    <n v="89356.08"/>
    <x v="184"/>
    <n v="0.12"/>
    <x v="3"/>
    <s v="Same Day"/>
    <n v="0"/>
    <x v="2"/>
  </r>
  <r>
    <s v="ORD20250186"/>
    <s v="2025-05-03"/>
    <s v="May"/>
    <s v="Q2"/>
    <n v="2025"/>
    <s v="West"/>
    <s v="Goa"/>
    <s v="Panaji"/>
    <s v="Distributor"/>
    <s v="Corporate"/>
    <s v="Rohit Jain"/>
    <s v="Grocery"/>
    <s v="Beverages"/>
    <s v="Instant Coffee Jar"/>
    <n v="19"/>
    <n v="459"/>
    <n v="0.18"/>
    <n v="7151.22"/>
    <n v="4791.32"/>
    <x v="185"/>
    <n v="0.33"/>
    <x v="3"/>
    <s v="Same Day"/>
    <n v="0"/>
    <x v="3"/>
  </r>
  <r>
    <s v="ORD20250187"/>
    <s v="2025-09-27"/>
    <s v="Sep"/>
    <s v="Q3"/>
    <n v="2025"/>
    <s v="East"/>
    <s v="West Bengal"/>
    <s v="Siliguri"/>
    <s v="Online"/>
    <s v="Home Office"/>
    <s v="Sandeep Rao"/>
    <s v="Electronics"/>
    <s v="Mobile"/>
    <s v="iPhone 14"/>
    <n v="1"/>
    <n v="69386"/>
    <n v="0.12"/>
    <n v="61059.68"/>
    <n v="53732.52"/>
    <x v="186"/>
    <n v="0.12"/>
    <x v="2"/>
    <s v="Same Day"/>
    <n v="0"/>
    <x v="3"/>
  </r>
  <r>
    <s v="ORD20250188"/>
    <s v="2025-12-25"/>
    <s v="Dec"/>
    <s v="Q4"/>
    <n v="2025"/>
    <s v="South"/>
    <s v="Tamil Nadu"/>
    <s v="Coimbatore"/>
    <s v="Online"/>
    <s v="Consumer"/>
    <s v="Simran Kaur"/>
    <s v="Furniture"/>
    <s v="Table"/>
    <s v="Dining Table"/>
    <n v="1"/>
    <n v="19601"/>
    <n v="0.05"/>
    <n v="18620.95"/>
    <n v="14151.92"/>
    <x v="187"/>
    <n v="0.24"/>
    <x v="1"/>
    <s v="Standard"/>
    <n v="7"/>
    <x v="2"/>
  </r>
  <r>
    <s v="ORD20250189"/>
    <s v="2025-03-05"/>
    <s v="Mar"/>
    <s v="Q1"/>
    <n v="2025"/>
    <s v="West"/>
    <s v="Gujarat"/>
    <s v="Surat"/>
    <s v="Online"/>
    <s v="Corporate"/>
    <s v="Arjun Patel"/>
    <s v="Clothing"/>
    <s v="Women"/>
    <s v="Silk Saree"/>
    <n v="8"/>
    <n v="5628"/>
    <n v="0.06"/>
    <n v="42322.559999999998"/>
    <n v="26663.21"/>
    <x v="188"/>
    <n v="0.37"/>
    <x v="0"/>
    <s v="Standard"/>
    <n v="4"/>
    <x v="0"/>
  </r>
  <r>
    <s v="ORD20250190"/>
    <s v="2025-05-31"/>
    <s v="Jun"/>
    <s v="Q2"/>
    <n v="2025"/>
    <s v="East"/>
    <s v="Bihar"/>
    <s v="Patna"/>
    <s v="Online"/>
    <s v="Home Office"/>
    <s v="Rohit Jain"/>
    <s v="Electronics"/>
    <s v="Accessories"/>
    <s v="Mechanical Keyboard"/>
    <n v="3"/>
    <n v="1965"/>
    <n v="0.13"/>
    <n v="5128.6499999999996"/>
    <n v="3590.05"/>
    <x v="189"/>
    <n v="0.3"/>
    <x v="3"/>
    <s v="Express"/>
    <n v="3"/>
    <x v="0"/>
  </r>
  <r>
    <s v="ORD20250191"/>
    <s v="2025-09-17"/>
    <s v="Sep"/>
    <s v="Q3"/>
    <n v="2025"/>
    <s v="West"/>
    <s v="Maharashtra"/>
    <s v="Pune"/>
    <s v="Distributor"/>
    <s v="Corporate"/>
    <s v="Pooja Singh"/>
    <s v="Electronics"/>
    <s v="Mobile"/>
    <s v="Samsung Galaxy A54"/>
    <n v="3"/>
    <n v="31472"/>
    <n v="0.16"/>
    <n v="79309.440000000002"/>
    <n v="65033.74"/>
    <x v="190"/>
    <n v="0.18"/>
    <x v="1"/>
    <s v="Express"/>
    <n v="2"/>
    <x v="0"/>
  </r>
  <r>
    <s v="ORD20250192"/>
    <s v="2025-05-25"/>
    <s v="May"/>
    <s v="Q2"/>
    <n v="2025"/>
    <s v="East"/>
    <s v="Bihar"/>
    <s v="Patna"/>
    <s v="Online"/>
    <s v="Corporate"/>
    <s v="Amit Sharma"/>
    <s v="Clothing"/>
    <s v="Men"/>
    <s v="Formal Shirt"/>
    <n v="12"/>
    <n v="1812"/>
    <n v="0.13"/>
    <n v="18917.28"/>
    <n v="10972.02"/>
    <x v="191"/>
    <n v="0.42"/>
    <x v="0"/>
    <s v="Standard"/>
    <n v="7"/>
    <x v="1"/>
  </r>
  <r>
    <s v="ORD20250193"/>
    <s v="2025-06-05"/>
    <s v="Jun"/>
    <s v="Q2"/>
    <n v="2025"/>
    <s v="East"/>
    <s v="West Bengal"/>
    <s v="Siliguri"/>
    <s v="Retail Store"/>
    <s v="Home Office"/>
    <s v="Neha Verma"/>
    <s v="Electronics"/>
    <s v="Accessories"/>
    <s v="Mechanical Keyboard"/>
    <n v="6"/>
    <n v="2923"/>
    <n v="0.02"/>
    <n v="17187.240000000002"/>
    <n v="12031.07"/>
    <x v="192"/>
    <n v="0.3"/>
    <x v="4"/>
    <s v="Standard"/>
    <n v="4"/>
    <x v="3"/>
  </r>
  <r>
    <s v="ORD20250194"/>
    <s v="2025-07-19"/>
    <s v="Jul"/>
    <s v="Q3"/>
    <n v="2025"/>
    <s v="West"/>
    <s v="Gujarat"/>
    <s v="Ahmedabad"/>
    <s v="Online"/>
    <s v="Home Office"/>
    <s v="Rohit Jain"/>
    <s v="Grocery"/>
    <s v="Snacks"/>
    <s v="Potato Chips Combo"/>
    <n v="30"/>
    <n v="104"/>
    <n v="0.11"/>
    <n v="2776.8"/>
    <n v="1777.15"/>
    <x v="193"/>
    <n v="0.36"/>
    <x v="3"/>
    <s v="Same Day"/>
    <n v="0"/>
    <x v="1"/>
  </r>
  <r>
    <s v="ORD20250195"/>
    <s v="2025-07-11"/>
    <s v="Jul"/>
    <s v="Q3"/>
    <n v="2025"/>
    <s v="South"/>
    <s v="Kerala"/>
    <s v="Kochi"/>
    <s v="Online"/>
    <s v="Corporate"/>
    <s v="Arjun Patel"/>
    <s v="Grocery"/>
    <s v="Snacks"/>
    <s v="Butter Biscuits"/>
    <n v="21"/>
    <n v="74"/>
    <n v="0.06"/>
    <n v="1460.76"/>
    <n v="905.67"/>
    <x v="194"/>
    <n v="0.38"/>
    <x v="1"/>
    <s v="Standard"/>
    <n v="7"/>
    <x v="0"/>
  </r>
  <r>
    <s v="ORD20250196"/>
    <s v="2025-05-04"/>
    <s v="May"/>
    <s v="Q2"/>
    <n v="2025"/>
    <s v="East"/>
    <s v="Bihar"/>
    <s v="Patna"/>
    <s v="Online"/>
    <s v="Consumer"/>
    <s v="Sandeep Rao"/>
    <s v="Electronics"/>
    <s v="Laptop"/>
    <s v="HP Pavilion"/>
    <n v="1"/>
    <n v="54566"/>
    <n v="0.06"/>
    <n v="51292.04"/>
    <n v="43598.23"/>
    <x v="195"/>
    <n v="0.15"/>
    <x v="1"/>
    <s v="Same Day"/>
    <n v="0"/>
    <x v="3"/>
  </r>
  <r>
    <s v="ORD20250197"/>
    <s v="2025-03-27"/>
    <s v="Mar"/>
    <s v="Q1"/>
    <n v="2025"/>
    <s v="East"/>
    <s v="Odisha"/>
    <s v="Bhubaneswar"/>
    <s v="Online"/>
    <s v="Home Office"/>
    <s v="Arjun Patel"/>
    <s v="Electronics"/>
    <s v="Accessories"/>
    <s v="Wireless Mouse"/>
    <n v="5"/>
    <n v="1329"/>
    <n v="0.06"/>
    <n v="6246.3"/>
    <n v="4247.4799999999996"/>
    <x v="196"/>
    <n v="0.32"/>
    <x v="1"/>
    <s v="Express"/>
    <n v="3"/>
    <x v="0"/>
  </r>
  <r>
    <s v="ORD20250198"/>
    <s v="2025-07-15"/>
    <s v="Jul"/>
    <s v="Q3"/>
    <n v="2025"/>
    <s v="East"/>
    <s v="Bihar"/>
    <s v="Patna"/>
    <s v="Retail Store"/>
    <s v="Consumer"/>
    <s v="Amit Sharma"/>
    <s v="Clothing"/>
    <s v="Women"/>
    <s v="Western Dress"/>
    <n v="10"/>
    <n v="2466"/>
    <n v="0.04"/>
    <n v="23673.599999999999"/>
    <n v="13493.95"/>
    <x v="197"/>
    <n v="0.43"/>
    <x v="4"/>
    <s v="Standard"/>
    <n v="4"/>
    <x v="3"/>
  </r>
  <r>
    <s v="ORD20250199"/>
    <s v="2025-07-06"/>
    <s v="Jul"/>
    <s v="Q3"/>
    <n v="2025"/>
    <s v="North"/>
    <s v="Punjab"/>
    <s v="Amritsar"/>
    <s v="Online"/>
    <s v="Consumer"/>
    <s v="Rohit Jain"/>
    <s v="Clothing"/>
    <s v="Men"/>
    <s v="Denim Jeans"/>
    <n v="11"/>
    <n v="2686"/>
    <n v="0.14000000000000001"/>
    <n v="25409.56"/>
    <n v="15245.74"/>
    <x v="198"/>
    <n v="0.4"/>
    <x v="2"/>
    <s v="Express"/>
    <n v="3"/>
    <x v="0"/>
  </r>
  <r>
    <s v="ORD20250200"/>
    <s v="2025-10-20"/>
    <s v="Oct"/>
    <s v="Q4"/>
    <n v="2025"/>
    <s v="East"/>
    <s v="West Bengal"/>
    <s v="Kolkata"/>
    <s v="Online"/>
    <s v="Corporate"/>
    <s v="Sandeep Rao"/>
    <s v="Electronics"/>
    <s v="Accessories"/>
    <s v="Mechanical Keyboard"/>
    <n v="4"/>
    <n v="2735"/>
    <n v="0.08"/>
    <n v="10064.799999999999"/>
    <n v="7045.36"/>
    <x v="199"/>
    <n v="0.3"/>
    <x v="3"/>
    <s v="Standard"/>
    <n v="4"/>
    <x v="0"/>
  </r>
  <r>
    <s v="ORD20250201"/>
    <s v="2025-06-22"/>
    <s v="Jun"/>
    <s v="Q2"/>
    <n v="2025"/>
    <s v="East"/>
    <s v="Bihar"/>
    <s v="Patna"/>
    <s v="Distributor"/>
    <s v="Consumer"/>
    <s v="Simran Kaur"/>
    <s v="Grocery"/>
    <s v="Beverages"/>
    <s v="Instant Coffee Jar"/>
    <n v="6"/>
    <n v="369"/>
    <n v="0.11"/>
    <n v="1970.46"/>
    <n v="1320.21"/>
    <x v="200"/>
    <n v="0.33"/>
    <x v="4"/>
    <s v="Express"/>
    <n v="1"/>
    <x v="3"/>
  </r>
  <r>
    <s v="ORD20250202"/>
    <s v="2025-10-03"/>
    <s v="Oct"/>
    <s v="Q4"/>
    <n v="2025"/>
    <s v="South"/>
    <s v="Karnataka"/>
    <s v="Mysuru"/>
    <s v="Distributor"/>
    <s v="Home Office"/>
    <s v="Amit Sharma"/>
    <s v="Grocery"/>
    <s v="Beverages"/>
    <s v="Premium Tea Pack"/>
    <n v="10"/>
    <n v="401"/>
    <n v="0.14000000000000001"/>
    <n v="3448.6"/>
    <n v="2276.08"/>
    <x v="201"/>
    <n v="0.34"/>
    <x v="2"/>
    <s v="Standard"/>
    <n v="7"/>
    <x v="0"/>
  </r>
  <r>
    <s v="ORD20250203"/>
    <s v="2025-09-11"/>
    <s v="Sep"/>
    <s v="Q3"/>
    <n v="2025"/>
    <s v="East"/>
    <s v="West Bengal"/>
    <s v="Kolkata"/>
    <s v="Online"/>
    <s v="Corporate"/>
    <s v="Neha Verma"/>
    <s v="Electronics"/>
    <s v="Laptop"/>
    <s v="HP Pavilion"/>
    <n v="3"/>
    <n v="60121"/>
    <n v="0.06"/>
    <n v="169541.22"/>
    <n v="144110.04"/>
    <x v="202"/>
    <n v="0.15"/>
    <x v="2"/>
    <s v="Express"/>
    <n v="1"/>
    <x v="1"/>
  </r>
  <r>
    <s v="ORD20250204"/>
    <s v="2025-07-04"/>
    <s v="Jul"/>
    <s v="Q3"/>
    <n v="2025"/>
    <s v="South"/>
    <s v="Telangana"/>
    <s v="Hyderabad"/>
    <s v="Online"/>
    <s v="Consumer"/>
    <s v="Priya Nair"/>
    <s v="Grocery"/>
    <s v="Snacks"/>
    <s v="Butter Biscuits"/>
    <n v="30"/>
    <n v="111"/>
    <n v="0.15"/>
    <n v="2830.5"/>
    <n v="1754.91"/>
    <x v="203"/>
    <n v="0.38"/>
    <x v="0"/>
    <s v="Express"/>
    <n v="3"/>
    <x v="0"/>
  </r>
  <r>
    <s v="ORD20250205"/>
    <s v="2025-01-24"/>
    <s v="Jan"/>
    <s v="Q1"/>
    <n v="2025"/>
    <s v="South"/>
    <s v="Tamil Nadu"/>
    <s v="Coimbatore"/>
    <s v="Online"/>
    <s v="Consumer"/>
    <s v="Amit Sharma"/>
    <s v="Furniture"/>
    <s v="Chair"/>
    <s v="Gaming Chair"/>
    <n v="1"/>
    <n v="10351"/>
    <n v="0.06"/>
    <n v="9729.94"/>
    <n v="7200.16"/>
    <x v="204"/>
    <n v="0.26"/>
    <x v="3"/>
    <s v="Express"/>
    <n v="2"/>
    <x v="0"/>
  </r>
  <r>
    <s v="ORD20250206"/>
    <s v="2025-04-11"/>
    <s v="Apr"/>
    <s v="Q2"/>
    <n v="2025"/>
    <s v="East"/>
    <s v="West Bengal"/>
    <s v="Siliguri"/>
    <s v="Retail Store"/>
    <s v="Home Office"/>
    <s v="Neha Verma"/>
    <s v="Grocery"/>
    <s v="Beverages"/>
    <s v="Instant Coffee Jar"/>
    <n v="11"/>
    <n v="410"/>
    <n v="0.06"/>
    <n v="4239.3999999999996"/>
    <n v="2840.4"/>
    <x v="205"/>
    <n v="0.33"/>
    <x v="3"/>
    <s v="Standard"/>
    <n v="3"/>
    <x v="0"/>
  </r>
  <r>
    <s v="ORD20250207"/>
    <s v="2025-05-21"/>
    <s v="May"/>
    <s v="Q2"/>
    <n v="2025"/>
    <s v="East"/>
    <s v="Odisha"/>
    <s v="Bhubaneswar"/>
    <s v="Online"/>
    <s v="Home Office"/>
    <s v="Rohit Jain"/>
    <s v="Grocery"/>
    <s v="Beverages"/>
    <s v="Premium Tea Pack"/>
    <n v="8"/>
    <n v="203"/>
    <n v="0.11"/>
    <n v="1445.36"/>
    <n v="953.94"/>
    <x v="206"/>
    <n v="0.34"/>
    <x v="1"/>
    <s v="Same Day"/>
    <n v="0"/>
    <x v="0"/>
  </r>
  <r>
    <s v="ORD20250208"/>
    <s v="2025-06-22"/>
    <s v="Jun"/>
    <s v="Q2"/>
    <n v="2025"/>
    <s v="South"/>
    <s v="Telangana"/>
    <s v="Hyderabad"/>
    <s v="Retail Store"/>
    <s v="Consumer"/>
    <s v="Rohit Jain"/>
    <s v="Grocery"/>
    <s v="Snacks"/>
    <s v="Potato Chips Combo"/>
    <n v="8"/>
    <n v="116"/>
    <n v="0.06"/>
    <n v="872.32"/>
    <n v="558.28"/>
    <x v="207"/>
    <n v="0.36"/>
    <x v="1"/>
    <s v="Standard"/>
    <n v="5"/>
    <x v="0"/>
  </r>
  <r>
    <s v="ORD20250209"/>
    <s v="2025-05-12"/>
    <s v="May"/>
    <s v="Q2"/>
    <n v="2025"/>
    <s v="South"/>
    <s v="Tamil Nadu"/>
    <s v="Chennai"/>
    <s v="Distributor"/>
    <s v="Corporate"/>
    <s v="Amit Sharma"/>
    <s v="Electronics"/>
    <s v="Laptop"/>
    <s v="Dell Inspiron 15"/>
    <n v="1"/>
    <n v="51699"/>
    <n v="0.12"/>
    <n v="45495.12"/>
    <n v="38215.9"/>
    <x v="208"/>
    <n v="0.16"/>
    <x v="0"/>
    <s v="Standard"/>
    <n v="4"/>
    <x v="3"/>
  </r>
  <r>
    <s v="ORD20250210"/>
    <s v="2025-07-20"/>
    <s v="Jul"/>
    <s v="Q3"/>
    <n v="2025"/>
    <s v="West"/>
    <s v="Maharashtra"/>
    <s v="Nagpur"/>
    <s v="Retail Store"/>
    <s v="Consumer"/>
    <s v="Simran Kaur"/>
    <s v="Clothing"/>
    <s v="Men"/>
    <s v="Denim Jeans"/>
    <n v="5"/>
    <n v="2467"/>
    <n v="0.09"/>
    <n v="11224.85"/>
    <n v="6734.91"/>
    <x v="209"/>
    <n v="0.4"/>
    <x v="3"/>
    <s v="Same Day"/>
    <n v="0"/>
    <x v="0"/>
  </r>
  <r>
    <s v="ORD20250211"/>
    <s v="2025-05-04"/>
    <s v="May"/>
    <s v="Q2"/>
    <n v="2025"/>
    <s v="North"/>
    <s v="Delhi"/>
    <s v="New Delhi"/>
    <s v="Retail Store"/>
    <s v="Corporate"/>
    <s v="Simran Kaur"/>
    <s v="Electronics"/>
    <s v="Mobile"/>
    <s v="iPhone 14"/>
    <n v="3"/>
    <n v="59118"/>
    <n v="0.1"/>
    <n v="159618.6"/>
    <n v="140464.37"/>
    <x v="210"/>
    <n v="0.12"/>
    <x v="1"/>
    <s v="Standard"/>
    <n v="6"/>
    <x v="1"/>
  </r>
  <r>
    <s v="ORD20250212"/>
    <s v="2025-07-31"/>
    <s v="Aug"/>
    <s v="Q3"/>
    <n v="2025"/>
    <s v="South"/>
    <s v="Tamil Nadu"/>
    <s v="Coimbatore"/>
    <s v="Online"/>
    <s v="Consumer"/>
    <s v="Rohit Jain"/>
    <s v="Furniture"/>
    <s v="Table"/>
    <s v="Study Table"/>
    <n v="3"/>
    <n v="10736"/>
    <n v="7.0000000000000007E-2"/>
    <n v="29953.439999999999"/>
    <n v="21266.94"/>
    <x v="211"/>
    <n v="0.28999999999999998"/>
    <x v="4"/>
    <s v="Standard"/>
    <n v="7"/>
    <x v="0"/>
  </r>
  <r>
    <s v="ORD20250213"/>
    <s v="2025-04-15"/>
    <s v="Apr"/>
    <s v="Q2"/>
    <n v="2025"/>
    <s v="West"/>
    <s v="Goa"/>
    <s v="Panaji"/>
    <s v="Online"/>
    <s v="Home Office"/>
    <s v="Rohit Jain"/>
    <s v="Electronics"/>
    <s v="Accessories"/>
    <s v="Mechanical Keyboard"/>
    <n v="6"/>
    <n v="3202"/>
    <n v="0.12"/>
    <n v="16906.560000000001"/>
    <n v="11834.59"/>
    <x v="212"/>
    <n v="0.3"/>
    <x v="3"/>
    <s v="Same Day"/>
    <n v="0"/>
    <x v="1"/>
  </r>
  <r>
    <s v="ORD20250214"/>
    <s v="2025-09-25"/>
    <s v="Sep"/>
    <s v="Q3"/>
    <n v="2025"/>
    <s v="West"/>
    <s v="Maharashtra"/>
    <s v="Pune"/>
    <s v="Retail Store"/>
    <s v="Corporate"/>
    <s v="Priya Nair"/>
    <s v="Furniture"/>
    <s v="Chair"/>
    <s v="Gaming Chair"/>
    <n v="1"/>
    <n v="8705"/>
    <n v="0.01"/>
    <n v="8617.9500000000007"/>
    <n v="6377.28"/>
    <x v="213"/>
    <n v="0.26"/>
    <x v="1"/>
    <s v="Standard"/>
    <n v="3"/>
    <x v="1"/>
  </r>
  <r>
    <s v="ORD20250215"/>
    <s v="2025-03-11"/>
    <s v="Mar"/>
    <s v="Q1"/>
    <n v="2025"/>
    <s v="North"/>
    <s v="Rajasthan"/>
    <s v="Udaipur"/>
    <s v="Distributor"/>
    <s v="Consumer"/>
    <s v="Rahul Mehta"/>
    <s v="Furniture"/>
    <s v="Table"/>
    <s v="Dining Table"/>
    <n v="1"/>
    <n v="22711"/>
    <n v="0.18"/>
    <n v="18623.02"/>
    <n v="14153.5"/>
    <x v="214"/>
    <n v="0.24"/>
    <x v="2"/>
    <s v="Same Day"/>
    <n v="0"/>
    <x v="0"/>
  </r>
  <r>
    <s v="ORD20250216"/>
    <s v="2025-03-01"/>
    <s v="Mar"/>
    <s v="Q1"/>
    <n v="2025"/>
    <s v="North"/>
    <s v="Uttar Pradesh"/>
    <s v="Lucknow"/>
    <s v="Retail Store"/>
    <s v="Corporate"/>
    <s v="Kavya Iyer"/>
    <s v="Clothing"/>
    <s v="Women"/>
    <s v="Silk Saree"/>
    <n v="3"/>
    <n v="4688"/>
    <n v="0.04"/>
    <n v="13501.44"/>
    <n v="8505.91"/>
    <x v="215"/>
    <n v="0.37"/>
    <x v="0"/>
    <s v="Same Day"/>
    <n v="0"/>
    <x v="1"/>
  </r>
  <r>
    <s v="ORD20250217"/>
    <s v="2025-09-25"/>
    <s v="Sep"/>
    <s v="Q3"/>
    <n v="2025"/>
    <s v="West"/>
    <s v="Goa"/>
    <s v="Panaji"/>
    <s v="Retail Store"/>
    <s v="Consumer"/>
    <s v="Sandeep Rao"/>
    <s v="Grocery"/>
    <s v="Beverages"/>
    <s v="Premium Tea Pack"/>
    <n v="23"/>
    <n v="189"/>
    <n v="0.01"/>
    <n v="4303.53"/>
    <n v="2840.33"/>
    <x v="216"/>
    <n v="0.34"/>
    <x v="3"/>
    <s v="Standard"/>
    <n v="3"/>
    <x v="0"/>
  </r>
  <r>
    <s v="ORD20250218"/>
    <s v="2025-08-27"/>
    <s v="Aug"/>
    <s v="Q3"/>
    <n v="2025"/>
    <s v="East"/>
    <s v="Odisha"/>
    <s v="Bhubaneswar"/>
    <s v="Online"/>
    <s v="Home Office"/>
    <s v="Kavya Iyer"/>
    <s v="Furniture"/>
    <s v="Table"/>
    <s v="Dining Table"/>
    <n v="2"/>
    <n v="16258"/>
    <n v="0.09"/>
    <n v="29589.56"/>
    <n v="22488.07"/>
    <x v="217"/>
    <n v="0.24"/>
    <x v="2"/>
    <s v="Standard"/>
    <n v="3"/>
    <x v="2"/>
  </r>
  <r>
    <s v="ORD20250219"/>
    <s v="2025-08-19"/>
    <s v="Aug"/>
    <s v="Q3"/>
    <n v="2025"/>
    <s v="West"/>
    <s v="Goa"/>
    <s v="Panaji"/>
    <s v="Distributor"/>
    <s v="Consumer"/>
    <s v="Neha Verma"/>
    <s v="Furniture"/>
    <s v="Table"/>
    <s v="Study Table"/>
    <n v="1"/>
    <n v="8175"/>
    <n v="0.09"/>
    <n v="7439.25"/>
    <n v="5281.87"/>
    <x v="218"/>
    <n v="0.28999999999999998"/>
    <x v="2"/>
    <s v="Standard"/>
    <n v="6"/>
    <x v="0"/>
  </r>
  <r>
    <s v="ORD20250220"/>
    <s v="2025-03-09"/>
    <s v="Mar"/>
    <s v="Q1"/>
    <n v="2025"/>
    <s v="West"/>
    <s v="Maharashtra"/>
    <s v="Pune"/>
    <s v="Online"/>
    <s v="Consumer"/>
    <s v="Pooja Singh"/>
    <s v="Clothing"/>
    <s v="Women"/>
    <s v="Western Dress"/>
    <n v="10"/>
    <n v="4330"/>
    <n v="0.06"/>
    <n v="40702"/>
    <n v="23200.14"/>
    <x v="219"/>
    <n v="0.43"/>
    <x v="1"/>
    <s v="Standard"/>
    <n v="4"/>
    <x v="0"/>
  </r>
  <r>
    <s v="ORD20250221"/>
    <s v="2025-05-01"/>
    <s v="May"/>
    <s v="Q2"/>
    <n v="2025"/>
    <s v="West"/>
    <s v="Maharashtra"/>
    <s v="Nagpur"/>
    <s v="Online"/>
    <s v="Home Office"/>
    <s v="Simran Kaur"/>
    <s v="Electronics"/>
    <s v="Mobile"/>
    <s v="iPhone 14"/>
    <n v="5"/>
    <n v="60419"/>
    <n v="0.11"/>
    <n v="268864.55"/>
    <n v="236600.8"/>
    <x v="220"/>
    <n v="0.12"/>
    <x v="4"/>
    <s v="Express"/>
    <n v="1"/>
    <x v="2"/>
  </r>
  <r>
    <s v="ORD20250222"/>
    <s v="2025-10-08"/>
    <s v="Oct"/>
    <s v="Q4"/>
    <n v="2025"/>
    <s v="East"/>
    <s v="Odisha"/>
    <s v="Bhubaneswar"/>
    <s v="Online"/>
    <s v="Consumer"/>
    <s v="Rahul Mehta"/>
    <s v="Clothing"/>
    <s v="Women"/>
    <s v="Silk Saree"/>
    <n v="9"/>
    <n v="7327"/>
    <n v="0.15"/>
    <n v="56051.55"/>
    <n v="35312.480000000003"/>
    <x v="221"/>
    <n v="0.37"/>
    <x v="0"/>
    <s v="Standard"/>
    <n v="3"/>
    <x v="0"/>
  </r>
  <r>
    <s v="ORD20250223"/>
    <s v="2025-04-09"/>
    <s v="Apr"/>
    <s v="Q2"/>
    <n v="2025"/>
    <s v="South"/>
    <s v="Telangana"/>
    <s v="Hyderabad"/>
    <s v="Online"/>
    <s v="Consumer"/>
    <s v="Arjun Patel"/>
    <s v="Clothing"/>
    <s v="Women"/>
    <s v="Silk Saree"/>
    <n v="4"/>
    <n v="5871"/>
    <n v="0.08"/>
    <n v="21605.279999999999"/>
    <n v="13611.33"/>
    <x v="222"/>
    <n v="0.37"/>
    <x v="0"/>
    <s v="Express"/>
    <n v="1"/>
    <x v="0"/>
  </r>
  <r>
    <s v="ORD20250224"/>
    <s v="2025-04-08"/>
    <s v="Apr"/>
    <s v="Q2"/>
    <n v="2025"/>
    <s v="North"/>
    <s v="Rajasthan"/>
    <s v="Udaipur"/>
    <s v="Retail Store"/>
    <s v="Corporate"/>
    <s v="Kavya Iyer"/>
    <s v="Clothing"/>
    <s v="Men"/>
    <s v="Denim Jeans"/>
    <n v="4"/>
    <n v="1570"/>
    <n v="0.09"/>
    <n v="5714.8"/>
    <n v="3428.88"/>
    <x v="223"/>
    <n v="0.4"/>
    <x v="0"/>
    <s v="Express"/>
    <n v="1"/>
    <x v="0"/>
  </r>
  <r>
    <s v="ORD20250225"/>
    <s v="2025-03-15"/>
    <s v="Mar"/>
    <s v="Q1"/>
    <n v="2025"/>
    <s v="South"/>
    <s v="Kerala"/>
    <s v="Kochi"/>
    <s v="Online"/>
    <s v="Home Office"/>
    <s v="Amit Sharma"/>
    <s v="Grocery"/>
    <s v="Beverages"/>
    <s v="Premium Tea Pack"/>
    <n v="26"/>
    <n v="406"/>
    <n v="0.09"/>
    <n v="9605.9599999999991"/>
    <n v="6339.93"/>
    <x v="224"/>
    <n v="0.34"/>
    <x v="4"/>
    <s v="Express"/>
    <n v="2"/>
    <x v="2"/>
  </r>
  <r>
    <s v="ORD20250226"/>
    <s v="2025-05-22"/>
    <s v="May"/>
    <s v="Q2"/>
    <n v="2025"/>
    <s v="North"/>
    <s v="Rajasthan"/>
    <s v="Udaipur"/>
    <s v="Online"/>
    <s v="Corporate"/>
    <s v="Pooja Singh"/>
    <s v="Electronics"/>
    <s v="Mobile"/>
    <s v="iPhone 14"/>
    <n v="6"/>
    <n v="66788"/>
    <n v="0.11"/>
    <n v="356647.92"/>
    <n v="313850.17"/>
    <x v="225"/>
    <n v="0.12"/>
    <x v="3"/>
    <s v="Standard"/>
    <n v="6"/>
    <x v="0"/>
  </r>
  <r>
    <s v="ORD20250227"/>
    <s v="2025-01-15"/>
    <s v="Jan"/>
    <s v="Q1"/>
    <n v="2025"/>
    <s v="West"/>
    <s v="Gujarat"/>
    <s v="Ahmedabad"/>
    <s v="Distributor"/>
    <s v="Consumer"/>
    <s v="Rohit Jain"/>
    <s v="Furniture"/>
    <s v="Chair"/>
    <s v="Office Chair"/>
    <n v="1"/>
    <n v="5862"/>
    <n v="0.09"/>
    <n v="5334.42"/>
    <n v="3840.78"/>
    <x v="226"/>
    <n v="0.28000000000000003"/>
    <x v="2"/>
    <s v="Express"/>
    <n v="1"/>
    <x v="1"/>
  </r>
  <r>
    <s v="ORD20250228"/>
    <s v="2025-12-21"/>
    <s v="Dec"/>
    <s v="Q4"/>
    <n v="2025"/>
    <s v="East"/>
    <s v="West Bengal"/>
    <s v="Kolkata"/>
    <s v="Distributor"/>
    <s v="Home Office"/>
    <s v="Neha Verma"/>
    <s v="Clothing"/>
    <s v="Men"/>
    <s v="Formal Shirt"/>
    <n v="2"/>
    <n v="1975"/>
    <n v="0.18"/>
    <n v="3239"/>
    <n v="1878.62"/>
    <x v="227"/>
    <n v="0.42"/>
    <x v="0"/>
    <s v="Express"/>
    <n v="1"/>
    <x v="3"/>
  </r>
  <r>
    <s v="ORD20250229"/>
    <s v="2025-02-11"/>
    <s v="Feb"/>
    <s v="Q1"/>
    <n v="2025"/>
    <s v="West"/>
    <s v="Goa"/>
    <s v="Panaji"/>
    <s v="Retail Store"/>
    <s v="Home Office"/>
    <s v="Priya Nair"/>
    <s v="Clothing"/>
    <s v="Men"/>
    <s v="Formal Shirt"/>
    <n v="4"/>
    <n v="1794"/>
    <n v="0.06"/>
    <n v="6745.44"/>
    <n v="3912.36"/>
    <x v="228"/>
    <n v="0.42"/>
    <x v="2"/>
    <s v="Same Day"/>
    <n v="0"/>
    <x v="2"/>
  </r>
  <r>
    <s v="ORD20250230"/>
    <s v="2025-09-09"/>
    <s v="Sep"/>
    <s v="Q3"/>
    <n v="2025"/>
    <s v="West"/>
    <s v="Goa"/>
    <s v="Panaji"/>
    <s v="Retail Store"/>
    <s v="Home Office"/>
    <s v="Kavya Iyer"/>
    <s v="Clothing"/>
    <s v="Men"/>
    <s v="Denim Jeans"/>
    <n v="4"/>
    <n v="2854"/>
    <n v="0.03"/>
    <n v="11073.52"/>
    <n v="6644.11"/>
    <x v="229"/>
    <n v="0.4"/>
    <x v="1"/>
    <s v="Express"/>
    <n v="2"/>
    <x v="0"/>
  </r>
  <r>
    <s v="ORD20250231"/>
    <s v="2025-07-14"/>
    <s v="Jul"/>
    <s v="Q3"/>
    <n v="2025"/>
    <s v="West"/>
    <s v="Goa"/>
    <s v="Panaji"/>
    <s v="Distributor"/>
    <s v="Home Office"/>
    <s v="Priya Nair"/>
    <s v="Clothing"/>
    <s v="Men"/>
    <s v="Formal Shirt"/>
    <n v="9"/>
    <n v="1378"/>
    <n v="0.14000000000000001"/>
    <n v="10665.72"/>
    <n v="6186.12"/>
    <x v="230"/>
    <n v="0.42"/>
    <x v="3"/>
    <s v="Same Day"/>
    <n v="0"/>
    <x v="0"/>
  </r>
  <r>
    <s v="ORD20250232"/>
    <s v="2025-07-09"/>
    <s v="Jul"/>
    <s v="Q3"/>
    <n v="2025"/>
    <s v="West"/>
    <s v="Goa"/>
    <s v="Panaji"/>
    <s v="Online"/>
    <s v="Corporate"/>
    <s v="Pooja Singh"/>
    <s v="Furniture"/>
    <s v="Chair"/>
    <s v="Office Chair"/>
    <n v="3"/>
    <n v="8369"/>
    <n v="0.14000000000000001"/>
    <n v="21592.02"/>
    <n v="15546.25"/>
    <x v="231"/>
    <n v="0.28000000000000003"/>
    <x v="0"/>
    <s v="Standard"/>
    <n v="6"/>
    <x v="3"/>
  </r>
  <r>
    <s v="ORD20250233"/>
    <s v="2025-10-20"/>
    <s v="Oct"/>
    <s v="Q4"/>
    <n v="2025"/>
    <s v="East"/>
    <s v="Odisha"/>
    <s v="Bhubaneswar"/>
    <s v="Retail Store"/>
    <s v="Home Office"/>
    <s v="Rahul Mehta"/>
    <s v="Electronics"/>
    <s v="Laptop"/>
    <s v="HP Pavilion"/>
    <n v="1"/>
    <n v="60890"/>
    <n v="0.08"/>
    <n v="56018.8"/>
    <n v="47615.98"/>
    <x v="232"/>
    <n v="0.15"/>
    <x v="4"/>
    <s v="Same Day"/>
    <n v="0"/>
    <x v="3"/>
  </r>
  <r>
    <s v="ORD20250234"/>
    <s v="2025-05-19"/>
    <s v="May"/>
    <s v="Q2"/>
    <n v="2025"/>
    <s v="East"/>
    <s v="Odisha"/>
    <s v="Bhubaneswar"/>
    <s v="Distributor"/>
    <s v="Consumer"/>
    <s v="Pooja Singh"/>
    <s v="Electronics"/>
    <s v="Laptop"/>
    <s v="HP Pavilion"/>
    <n v="6"/>
    <n v="57890"/>
    <n v="0.14000000000000001"/>
    <n v="298712.40000000002"/>
    <n v="253905.54"/>
    <x v="233"/>
    <n v="0.15"/>
    <x v="4"/>
    <s v="Standard"/>
    <n v="3"/>
    <x v="0"/>
  </r>
  <r>
    <s v="ORD20250235"/>
    <s v="2025-04-19"/>
    <s v="Apr"/>
    <s v="Q2"/>
    <n v="2025"/>
    <s v="South"/>
    <s v="Karnataka"/>
    <s v="Mysuru"/>
    <s v="Distributor"/>
    <s v="Corporate"/>
    <s v="Amit Sharma"/>
    <s v="Electronics"/>
    <s v="Accessories"/>
    <s v="Wireless Mouse"/>
    <n v="4"/>
    <n v="1048"/>
    <n v="0.1"/>
    <n v="3772.8"/>
    <n v="2565.5"/>
    <x v="234"/>
    <n v="0.32"/>
    <x v="3"/>
    <s v="Express"/>
    <n v="2"/>
    <x v="0"/>
  </r>
  <r>
    <s v="ORD20250236"/>
    <s v="2025-04-13"/>
    <s v="Apr"/>
    <s v="Q2"/>
    <n v="2025"/>
    <s v="South"/>
    <s v="Kerala"/>
    <s v="Kochi"/>
    <s v="Retail Store"/>
    <s v="Home Office"/>
    <s v="Kavya Iyer"/>
    <s v="Furniture"/>
    <s v="Chair"/>
    <s v="Office Chair"/>
    <n v="3"/>
    <n v="8228"/>
    <n v="0.08"/>
    <n v="22709.279999999999"/>
    <n v="16350.68"/>
    <x v="235"/>
    <n v="0.28000000000000003"/>
    <x v="2"/>
    <s v="Standard"/>
    <n v="3"/>
    <x v="0"/>
  </r>
  <r>
    <s v="ORD20250237"/>
    <s v="2025-12-09"/>
    <s v="Dec"/>
    <s v="Q4"/>
    <n v="2025"/>
    <s v="West"/>
    <s v="Goa"/>
    <s v="Panaji"/>
    <s v="Retail Store"/>
    <s v="Consumer"/>
    <s v="Arjun Patel"/>
    <s v="Clothing"/>
    <s v="Men"/>
    <s v="Formal Shirt"/>
    <n v="5"/>
    <n v="2119"/>
    <n v="0.05"/>
    <n v="10065.25"/>
    <n v="5837.84"/>
    <x v="236"/>
    <n v="0.42"/>
    <x v="0"/>
    <s v="Express"/>
    <n v="1"/>
    <x v="2"/>
  </r>
  <r>
    <s v="ORD20250238"/>
    <s v="2025-04-16"/>
    <s v="Apr"/>
    <s v="Q2"/>
    <n v="2025"/>
    <s v="East"/>
    <s v="Bihar"/>
    <s v="Patna"/>
    <s v="Online"/>
    <s v="Corporate"/>
    <s v="Amit Sharma"/>
    <s v="Furniture"/>
    <s v="Table"/>
    <s v="Study Table"/>
    <n v="3"/>
    <n v="5161"/>
    <n v="0.05"/>
    <n v="14708.85"/>
    <n v="10443.280000000001"/>
    <x v="237"/>
    <n v="0.28999999999999998"/>
    <x v="3"/>
    <s v="Express"/>
    <n v="2"/>
    <x v="0"/>
  </r>
  <r>
    <s v="ORD20250239"/>
    <s v="2025-07-20"/>
    <s v="Jul"/>
    <s v="Q3"/>
    <n v="2025"/>
    <s v="South"/>
    <s v="Telangana"/>
    <s v="Hyderabad"/>
    <s v="Retail Store"/>
    <s v="Corporate"/>
    <s v="Pooja Singh"/>
    <s v="Electronics"/>
    <s v="Mobile"/>
    <s v="Samsung Galaxy A54"/>
    <n v="6"/>
    <n v="30019"/>
    <n v="0.05"/>
    <n v="171108.3"/>
    <n v="140308.81"/>
    <x v="238"/>
    <n v="0.18"/>
    <x v="3"/>
    <s v="Same Day"/>
    <n v="0"/>
    <x v="0"/>
  </r>
  <r>
    <s v="ORD20250240"/>
    <s v="2025-07-09"/>
    <s v="Jul"/>
    <s v="Q3"/>
    <n v="2025"/>
    <s v="East"/>
    <s v="West Bengal"/>
    <s v="Siliguri"/>
    <s v="Distributor"/>
    <s v="Corporate"/>
    <s v="Rohit Jain"/>
    <s v="Clothing"/>
    <s v="Men"/>
    <s v="Denim Jeans"/>
    <n v="5"/>
    <n v="2944"/>
    <n v="0.18"/>
    <n v="12070.4"/>
    <n v="7242.24"/>
    <x v="239"/>
    <n v="0.4"/>
    <x v="0"/>
    <s v="Standard"/>
    <n v="4"/>
    <x v="3"/>
  </r>
  <r>
    <s v="ORD20250241"/>
    <s v="2025-06-12"/>
    <s v="Jun"/>
    <s v="Q2"/>
    <n v="2025"/>
    <s v="East"/>
    <s v="West Bengal"/>
    <s v="Siliguri"/>
    <s v="Retail Store"/>
    <s v="Consumer"/>
    <s v="Amit Sharma"/>
    <s v="Grocery"/>
    <s v="Snacks"/>
    <s v="Butter Biscuits"/>
    <n v="15"/>
    <n v="68"/>
    <n v="7.0000000000000007E-2"/>
    <n v="948.6"/>
    <n v="588.13"/>
    <x v="240"/>
    <n v="0.38"/>
    <x v="3"/>
    <s v="Same Day"/>
    <n v="0"/>
    <x v="1"/>
  </r>
  <r>
    <s v="ORD20250242"/>
    <s v="2025-08-17"/>
    <s v="Aug"/>
    <s v="Q3"/>
    <n v="2025"/>
    <s v="North"/>
    <s v="Uttar Pradesh"/>
    <s v="Kanpur"/>
    <s v="Retail Store"/>
    <s v="Corporate"/>
    <s v="Kavya Iyer"/>
    <s v="Clothing"/>
    <s v="Women"/>
    <s v="Western Dress"/>
    <n v="11"/>
    <n v="4309"/>
    <n v="0.1"/>
    <n v="42659.1"/>
    <n v="24315.69"/>
    <x v="241"/>
    <n v="0.43"/>
    <x v="3"/>
    <s v="Express"/>
    <n v="2"/>
    <x v="0"/>
  </r>
  <r>
    <s v="ORD20250243"/>
    <s v="2025-04-08"/>
    <s v="Apr"/>
    <s v="Q2"/>
    <n v="2025"/>
    <s v="South"/>
    <s v="Kerala"/>
    <s v="Kochi"/>
    <s v="Online"/>
    <s v="Consumer"/>
    <s v="Kavya Iyer"/>
    <s v="Furniture"/>
    <s v="Chair"/>
    <s v="Office Chair"/>
    <n v="1"/>
    <n v="6142"/>
    <n v="0.09"/>
    <n v="5589.22"/>
    <n v="4024.24"/>
    <x v="242"/>
    <n v="0.28000000000000003"/>
    <x v="1"/>
    <s v="Express"/>
    <n v="2"/>
    <x v="1"/>
  </r>
  <r>
    <s v="ORD20250244"/>
    <s v="2025-08-26"/>
    <s v="Aug"/>
    <s v="Q3"/>
    <n v="2025"/>
    <s v="South"/>
    <s v="Tamil Nadu"/>
    <s v="Coimbatore"/>
    <s v="Online"/>
    <s v="Consumer"/>
    <s v="Rohit Jain"/>
    <s v="Grocery"/>
    <s v="Beverages"/>
    <s v="Premium Tea Pack"/>
    <n v="20"/>
    <n v="217"/>
    <n v="0.05"/>
    <n v="4123"/>
    <n v="2721.18"/>
    <x v="243"/>
    <n v="0.34"/>
    <x v="0"/>
    <s v="Standard"/>
    <n v="5"/>
    <x v="0"/>
  </r>
  <r>
    <s v="ORD20250245"/>
    <s v="2025-03-31"/>
    <s v="Apr"/>
    <s v="Q2"/>
    <n v="2025"/>
    <s v="North"/>
    <s v="Rajasthan"/>
    <s v="Udaipur"/>
    <s v="Online"/>
    <s v="Corporate"/>
    <s v="Pooja Singh"/>
    <s v="Electronics"/>
    <s v="Mobile"/>
    <s v="Samsung Galaxy A54"/>
    <n v="3"/>
    <n v="28612"/>
    <n v="0.14000000000000001"/>
    <n v="73818.960000000006"/>
    <n v="60531.55"/>
    <x v="244"/>
    <n v="0.18"/>
    <x v="2"/>
    <s v="Same Day"/>
    <n v="0"/>
    <x v="3"/>
  </r>
  <r>
    <s v="ORD20250246"/>
    <s v="2025-08-09"/>
    <s v="Aug"/>
    <s v="Q3"/>
    <n v="2025"/>
    <s v="North"/>
    <s v="Delhi"/>
    <s v="New Delhi"/>
    <s v="Retail Store"/>
    <s v="Consumer"/>
    <s v="Amit Sharma"/>
    <s v="Clothing"/>
    <s v="Women"/>
    <s v="Silk Saree"/>
    <n v="11"/>
    <n v="8163"/>
    <n v="7.0000000000000007E-2"/>
    <n v="83507.490000000005"/>
    <n v="52609.72"/>
    <x v="245"/>
    <n v="0.37"/>
    <x v="0"/>
    <s v="Express"/>
    <n v="3"/>
    <x v="0"/>
  </r>
  <r>
    <s v="ORD20250247"/>
    <s v="2025-04-27"/>
    <s v="Apr"/>
    <s v="Q2"/>
    <n v="2025"/>
    <s v="West"/>
    <s v="Gujarat"/>
    <s v="Surat"/>
    <s v="Retail Store"/>
    <s v="Home Office"/>
    <s v="Pooja Singh"/>
    <s v="Electronics"/>
    <s v="Mobile"/>
    <s v="iPhone 14"/>
    <n v="5"/>
    <n v="70152"/>
    <n v="0.08"/>
    <n v="322699.2"/>
    <n v="283975.3"/>
    <x v="246"/>
    <n v="0.12"/>
    <x v="3"/>
    <s v="Standard"/>
    <n v="5"/>
    <x v="0"/>
  </r>
  <r>
    <s v="ORD20250248"/>
    <s v="2025-05-04"/>
    <s v="May"/>
    <s v="Q2"/>
    <n v="2025"/>
    <s v="West"/>
    <s v="Maharashtra"/>
    <s v="Mumbai"/>
    <s v="Retail Store"/>
    <s v="Consumer"/>
    <s v="Sandeep Rao"/>
    <s v="Electronics"/>
    <s v="Laptop"/>
    <s v="Dell Inspiron 15"/>
    <n v="1"/>
    <n v="56388"/>
    <n v="0.09"/>
    <n v="51313.08"/>
    <n v="43102.99"/>
    <x v="247"/>
    <n v="0.16"/>
    <x v="4"/>
    <s v="Standard"/>
    <n v="6"/>
    <x v="1"/>
  </r>
  <r>
    <s v="ORD20250249"/>
    <s v="2025-12-08"/>
    <s v="Dec"/>
    <s v="Q4"/>
    <n v="2025"/>
    <s v="East"/>
    <s v="Odisha"/>
    <s v="Bhubaneswar"/>
    <s v="Retail Store"/>
    <s v="Home Office"/>
    <s v="Pooja Singh"/>
    <s v="Electronics"/>
    <s v="Accessories"/>
    <s v="Wireless Mouse"/>
    <n v="3"/>
    <n v="1521"/>
    <n v="0.02"/>
    <n v="4471.74"/>
    <n v="3040.78"/>
    <x v="248"/>
    <n v="0.32"/>
    <x v="4"/>
    <s v="Express"/>
    <n v="2"/>
    <x v="2"/>
  </r>
  <r>
    <m/>
    <m/>
    <m/>
    <m/>
    <m/>
    <m/>
    <m/>
    <m/>
    <m/>
    <m/>
    <m/>
    <m/>
    <m/>
    <m/>
    <m/>
    <m/>
    <m/>
    <m/>
    <m/>
    <x v="249"/>
    <m/>
    <x v="5"/>
    <m/>
    <m/>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s v="ORD20250001"/>
    <x v="0"/>
    <s v="Mar"/>
    <x v="0"/>
    <n v="2025"/>
    <x v="0"/>
    <x v="0"/>
    <x v="0"/>
    <s v="Distributor"/>
    <s v="Consumer"/>
    <x v="0"/>
    <x v="0"/>
    <s v="Women"/>
    <x v="0"/>
    <n v="7"/>
    <n v="1900"/>
    <n v="0.08"/>
    <x v="0"/>
    <n v="6974.52"/>
    <n v="5261.48"/>
    <n v="0.43"/>
    <x v="0"/>
    <s v="Standard"/>
    <n v="7"/>
    <x v="0"/>
  </r>
  <r>
    <s v="ORD20250002"/>
    <x v="1"/>
    <s v="Mar"/>
    <x v="0"/>
    <n v="2025"/>
    <x v="1"/>
    <x v="1"/>
    <x v="1"/>
    <s v="Retail Store"/>
    <s v="Home Office"/>
    <x v="1"/>
    <x v="1"/>
    <s v="Mobile"/>
    <x v="1"/>
    <n v="4"/>
    <n v="64510"/>
    <n v="0.1"/>
    <x v="1"/>
    <n v="204367.68"/>
    <n v="27868.32"/>
    <n v="0.12"/>
    <x v="1"/>
    <s v="Express"/>
    <n v="3"/>
    <x v="0"/>
  </r>
  <r>
    <s v="ORD20250003"/>
    <x v="2"/>
    <s v="Dec"/>
    <x v="1"/>
    <n v="2025"/>
    <x v="0"/>
    <x v="2"/>
    <x v="2"/>
    <s v="Distributor"/>
    <s v="Corporate"/>
    <x v="2"/>
    <x v="1"/>
    <s v="Laptop"/>
    <x v="2"/>
    <n v="2"/>
    <n v="59406"/>
    <n v="0.12"/>
    <x v="2"/>
    <n v="88871.38"/>
    <n v="15683.18"/>
    <n v="0.15"/>
    <x v="2"/>
    <s v="Standard"/>
    <n v="5"/>
    <x v="0"/>
  </r>
  <r>
    <s v="ORD20250004"/>
    <x v="3"/>
    <s v="Jul"/>
    <x v="2"/>
    <n v="2025"/>
    <x v="1"/>
    <x v="3"/>
    <x v="3"/>
    <s v="Retail Store"/>
    <s v="Consumer"/>
    <x v="3"/>
    <x v="2"/>
    <s v="Table"/>
    <x v="3"/>
    <n v="1"/>
    <n v="6477"/>
    <n v="0"/>
    <x v="3"/>
    <n v="4598.67"/>
    <n v="1878.33"/>
    <n v="0.28999999999999998"/>
    <x v="3"/>
    <s v="Express"/>
    <n v="3"/>
    <x v="0"/>
  </r>
  <r>
    <s v="ORD20250005"/>
    <x v="2"/>
    <s v="Dec"/>
    <x v="1"/>
    <n v="2025"/>
    <x v="1"/>
    <x v="3"/>
    <x v="3"/>
    <s v="Retail Store"/>
    <s v="Home Office"/>
    <x v="2"/>
    <x v="0"/>
    <s v="Men"/>
    <x v="4"/>
    <n v="5"/>
    <n v="2029"/>
    <n v="0.04"/>
    <x v="4"/>
    <n v="5648.74"/>
    <n v="4090.46"/>
    <n v="0.42"/>
    <x v="0"/>
    <s v="Standard"/>
    <n v="6"/>
    <x v="0"/>
  </r>
  <r>
    <s v="ORD20250006"/>
    <x v="4"/>
    <s v="Feb"/>
    <x v="0"/>
    <n v="2025"/>
    <x v="1"/>
    <x v="3"/>
    <x v="3"/>
    <s v="Retail Store"/>
    <s v="Home Office"/>
    <x v="4"/>
    <x v="0"/>
    <s v="Men"/>
    <x v="4"/>
    <n v="2"/>
    <n v="1059"/>
    <n v="0.05"/>
    <x v="5"/>
    <n v="1167.02"/>
    <n v="845.08"/>
    <n v="0.42"/>
    <x v="1"/>
    <s v="Same Day"/>
    <n v="0"/>
    <x v="1"/>
  </r>
  <r>
    <s v="ORD20250007"/>
    <x v="5"/>
    <s v="Dec"/>
    <x v="1"/>
    <n v="2025"/>
    <x v="2"/>
    <x v="4"/>
    <x v="4"/>
    <s v="Online"/>
    <s v="Consumer"/>
    <x v="5"/>
    <x v="0"/>
    <s v="Men"/>
    <x v="4"/>
    <n v="12"/>
    <n v="1594"/>
    <n v="0.13"/>
    <x v="6"/>
    <n v="9651.99"/>
    <n v="6989.37"/>
    <n v="0.42"/>
    <x v="0"/>
    <s v="Same Day"/>
    <n v="0"/>
    <x v="1"/>
  </r>
  <r>
    <s v="ORD20250008"/>
    <x v="6"/>
    <s v="Jun"/>
    <x v="3"/>
    <n v="2025"/>
    <x v="3"/>
    <x v="5"/>
    <x v="5"/>
    <s v="Retail Store"/>
    <s v="Consumer"/>
    <x v="3"/>
    <x v="3"/>
    <s v="Snacks"/>
    <x v="5"/>
    <n v="9"/>
    <n v="148"/>
    <n v="0.02"/>
    <x v="7"/>
    <n v="835.43"/>
    <n v="469.93"/>
    <n v="0.36"/>
    <x v="4"/>
    <s v="Same Day"/>
    <n v="0"/>
    <x v="2"/>
  </r>
  <r>
    <s v="ORD20250009"/>
    <x v="7"/>
    <s v="Oct"/>
    <x v="1"/>
    <n v="2025"/>
    <x v="1"/>
    <x v="6"/>
    <x v="6"/>
    <s v="Retail Store"/>
    <s v="Corporate"/>
    <x v="5"/>
    <x v="1"/>
    <s v="Mobile"/>
    <x v="1"/>
    <n v="6"/>
    <n v="63087"/>
    <n v="0.03"/>
    <x v="8"/>
    <n v="323106.38"/>
    <n v="44059.96"/>
    <n v="0.12"/>
    <x v="1"/>
    <s v="Standard"/>
    <n v="4"/>
    <x v="1"/>
  </r>
  <r>
    <s v="ORD20250010"/>
    <x v="7"/>
    <s v="Oct"/>
    <x v="1"/>
    <n v="2025"/>
    <x v="0"/>
    <x v="2"/>
    <x v="2"/>
    <s v="Distributor"/>
    <s v="Consumer"/>
    <x v="5"/>
    <x v="3"/>
    <s v="Beverages"/>
    <x v="6"/>
    <n v="27"/>
    <n v="239"/>
    <n v="0.18"/>
    <x v="9"/>
    <n v="3492.36"/>
    <n v="1799.1"/>
    <n v="0.34"/>
    <x v="0"/>
    <s v="Standard"/>
    <n v="6"/>
    <x v="0"/>
  </r>
  <r>
    <s v="ORD20250011"/>
    <x v="8"/>
    <s v="May"/>
    <x v="3"/>
    <n v="2025"/>
    <x v="3"/>
    <x v="7"/>
    <x v="7"/>
    <s v="Distributor"/>
    <s v="Home Office"/>
    <x v="6"/>
    <x v="2"/>
    <s v="Chair"/>
    <x v="7"/>
    <n v="2"/>
    <n v="7251"/>
    <n v="0.08"/>
    <x v="10"/>
    <n v="9606.1200000000008"/>
    <n v="3735.72"/>
    <n v="0.28000000000000003"/>
    <x v="0"/>
    <s v="Same Day"/>
    <n v="0"/>
    <x v="3"/>
  </r>
  <r>
    <s v="ORD20250012"/>
    <x v="9"/>
    <s v="Mar"/>
    <x v="0"/>
    <n v="2025"/>
    <x v="0"/>
    <x v="0"/>
    <x v="8"/>
    <s v="Online"/>
    <s v="Consumer"/>
    <x v="0"/>
    <x v="1"/>
    <s v="Accessories"/>
    <x v="8"/>
    <n v="6"/>
    <n v="2301"/>
    <n v="0.06"/>
    <x v="11"/>
    <n v="9084.35"/>
    <n v="3893.29"/>
    <n v="0.3"/>
    <x v="2"/>
    <s v="Same Day"/>
    <n v="0"/>
    <x v="0"/>
  </r>
  <r>
    <s v="ORD20250013"/>
    <x v="10"/>
    <s v="Jul"/>
    <x v="2"/>
    <n v="2025"/>
    <x v="3"/>
    <x v="5"/>
    <x v="5"/>
    <s v="Distributor"/>
    <s v="Consumer"/>
    <x v="7"/>
    <x v="3"/>
    <s v="Beverages"/>
    <x v="9"/>
    <n v="10"/>
    <n v="361"/>
    <n v="0.16"/>
    <x v="12"/>
    <n v="2031.71"/>
    <n v="1000.69"/>
    <n v="0.33"/>
    <x v="3"/>
    <s v="Express"/>
    <n v="3"/>
    <x v="2"/>
  </r>
  <r>
    <s v="ORD20250014"/>
    <x v="11"/>
    <s v="Nov"/>
    <x v="1"/>
    <n v="2025"/>
    <x v="3"/>
    <x v="5"/>
    <x v="5"/>
    <s v="Online"/>
    <s v="Home Office"/>
    <x v="3"/>
    <x v="2"/>
    <s v="Chair"/>
    <x v="10"/>
    <n v="3"/>
    <n v="10256"/>
    <n v="0.1"/>
    <x v="13"/>
    <n v="20491.490000000002"/>
    <n v="7199.71"/>
    <n v="0.26"/>
    <x v="0"/>
    <s v="Same Day"/>
    <n v="0"/>
    <x v="0"/>
  </r>
  <r>
    <s v="ORD20250015"/>
    <x v="12"/>
    <s v="Mar"/>
    <x v="0"/>
    <n v="2025"/>
    <x v="3"/>
    <x v="5"/>
    <x v="5"/>
    <s v="Retail Store"/>
    <s v="Consumer"/>
    <x v="7"/>
    <x v="2"/>
    <s v="Table"/>
    <x v="11"/>
    <n v="1"/>
    <n v="18574"/>
    <n v="0.09"/>
    <x v="14"/>
    <n v="12845.78"/>
    <n v="4056.56"/>
    <n v="0.24"/>
    <x v="4"/>
    <s v="Express"/>
    <n v="1"/>
    <x v="3"/>
  </r>
  <r>
    <s v="ORD20250016"/>
    <x v="13"/>
    <s v="Feb"/>
    <x v="0"/>
    <n v="2025"/>
    <x v="2"/>
    <x v="4"/>
    <x v="9"/>
    <s v="Distributor"/>
    <s v="Corporate"/>
    <x v="8"/>
    <x v="1"/>
    <s v="Mobile"/>
    <x v="12"/>
    <n v="6"/>
    <n v="22878"/>
    <n v="0.14000000000000001"/>
    <x v="15"/>
    <n v="96801.39"/>
    <n v="21249.09"/>
    <n v="0.18"/>
    <x v="0"/>
    <s v="Express"/>
    <n v="2"/>
    <x v="2"/>
  </r>
  <r>
    <s v="ORD20250017"/>
    <x v="14"/>
    <s v="Feb"/>
    <x v="0"/>
    <n v="2025"/>
    <x v="2"/>
    <x v="8"/>
    <x v="10"/>
    <s v="Retail Store"/>
    <s v="Home Office"/>
    <x v="6"/>
    <x v="0"/>
    <s v="Men"/>
    <x v="13"/>
    <n v="10"/>
    <n v="2109"/>
    <n v="0.01"/>
    <x v="16"/>
    <n v="12527.46"/>
    <n v="8351.64"/>
    <n v="0.4"/>
    <x v="1"/>
    <s v="Express"/>
    <n v="2"/>
    <x v="0"/>
  </r>
  <r>
    <s v="ORD20250018"/>
    <x v="15"/>
    <s v="Sep"/>
    <x v="2"/>
    <n v="2025"/>
    <x v="1"/>
    <x v="3"/>
    <x v="3"/>
    <s v="Distributor"/>
    <s v="Consumer"/>
    <x v="1"/>
    <x v="0"/>
    <s v="Women"/>
    <x v="0"/>
    <n v="2"/>
    <n v="3189"/>
    <n v="0.14000000000000001"/>
    <x v="17"/>
    <n v="3126.5"/>
    <n v="2358.58"/>
    <n v="0.43"/>
    <x v="2"/>
    <s v="Express"/>
    <n v="1"/>
    <x v="0"/>
  </r>
  <r>
    <s v="ORD20250019"/>
    <x v="16"/>
    <s v="Jun"/>
    <x v="3"/>
    <n v="2025"/>
    <x v="0"/>
    <x v="0"/>
    <x v="0"/>
    <s v="Distributor"/>
    <s v="Consumer"/>
    <x v="9"/>
    <x v="2"/>
    <s v="Table"/>
    <x v="11"/>
    <n v="2"/>
    <n v="22990"/>
    <n v="0.09"/>
    <x v="18"/>
    <n v="31799.77"/>
    <n v="10042.030000000001"/>
    <n v="0.24"/>
    <x v="0"/>
    <s v="Same Day"/>
    <n v="0"/>
    <x v="0"/>
  </r>
  <r>
    <s v="ORD20250020"/>
    <x v="17"/>
    <s v="Apr"/>
    <x v="3"/>
    <n v="2025"/>
    <x v="1"/>
    <x v="6"/>
    <x v="11"/>
    <s v="Online"/>
    <s v="Consumer"/>
    <x v="8"/>
    <x v="0"/>
    <s v="Men"/>
    <x v="13"/>
    <n v="9"/>
    <n v="2013"/>
    <n v="0.13"/>
    <x v="19"/>
    <n v="9457.07"/>
    <n v="6304.72"/>
    <n v="0.4"/>
    <x v="3"/>
    <s v="Express"/>
    <n v="2"/>
    <x v="2"/>
  </r>
  <r>
    <s v="ORD20250021"/>
    <x v="18"/>
    <s v="Dec"/>
    <x v="1"/>
    <n v="2025"/>
    <x v="1"/>
    <x v="9"/>
    <x v="12"/>
    <s v="Retail Store"/>
    <s v="Corporate"/>
    <x v="7"/>
    <x v="2"/>
    <s v="Table"/>
    <x v="3"/>
    <n v="1"/>
    <n v="6658"/>
    <n v="7.0000000000000007E-2"/>
    <x v="20"/>
    <n v="4396.28"/>
    <n v="1795.66"/>
    <n v="0.28999999999999998"/>
    <x v="4"/>
    <s v="Same Day"/>
    <n v="0"/>
    <x v="0"/>
  </r>
  <r>
    <s v="ORD20250022"/>
    <x v="19"/>
    <s v="Apr"/>
    <x v="3"/>
    <n v="2025"/>
    <x v="1"/>
    <x v="9"/>
    <x v="12"/>
    <s v="Retail Store"/>
    <s v="Corporate"/>
    <x v="0"/>
    <x v="3"/>
    <s v="Snacks"/>
    <x v="5"/>
    <n v="11"/>
    <n v="82"/>
    <n v="0.08"/>
    <x v="21"/>
    <n v="531.1"/>
    <n v="298.74"/>
    <n v="0.36"/>
    <x v="1"/>
    <s v="Express"/>
    <n v="2"/>
    <x v="0"/>
  </r>
  <r>
    <s v="ORD20250023"/>
    <x v="20"/>
    <s v="Feb"/>
    <x v="0"/>
    <n v="2025"/>
    <x v="0"/>
    <x v="0"/>
    <x v="0"/>
    <s v="Retail Store"/>
    <s v="Consumer"/>
    <x v="2"/>
    <x v="1"/>
    <s v="Mobile"/>
    <x v="1"/>
    <n v="1"/>
    <n v="70297"/>
    <n v="7.0000000000000007E-2"/>
    <x v="22"/>
    <n v="57531.06"/>
    <n v="7845.15"/>
    <n v="0.12"/>
    <x v="2"/>
    <s v="Same Day"/>
    <n v="0"/>
    <x v="0"/>
  </r>
  <r>
    <s v="ORD20250024"/>
    <x v="21"/>
    <s v="Nov"/>
    <x v="1"/>
    <n v="2025"/>
    <x v="0"/>
    <x v="2"/>
    <x v="13"/>
    <s v="Online"/>
    <s v="Consumer"/>
    <x v="2"/>
    <x v="0"/>
    <s v="Women"/>
    <x v="0"/>
    <n v="8"/>
    <n v="2005"/>
    <n v="7.0000000000000007E-2"/>
    <x v="23"/>
    <n v="8502.7999999999993"/>
    <n v="6414.4"/>
    <n v="0.43"/>
    <x v="3"/>
    <s v="Same Day"/>
    <n v="0"/>
    <x v="2"/>
  </r>
  <r>
    <s v="ORD20250025"/>
    <x v="22"/>
    <s v="Nov"/>
    <x v="1"/>
    <n v="2025"/>
    <x v="2"/>
    <x v="8"/>
    <x v="10"/>
    <s v="Online"/>
    <s v="Consumer"/>
    <x v="0"/>
    <x v="2"/>
    <s v="Table"/>
    <x v="11"/>
    <n v="1"/>
    <n v="21134"/>
    <n v="0.08"/>
    <x v="24"/>
    <n v="14776.89"/>
    <n v="4666.3900000000003"/>
    <n v="0.24"/>
    <x v="1"/>
    <s v="Standard"/>
    <n v="3"/>
    <x v="3"/>
  </r>
  <r>
    <s v="ORD20250026"/>
    <x v="2"/>
    <s v="Dec"/>
    <x v="1"/>
    <n v="2025"/>
    <x v="2"/>
    <x v="4"/>
    <x v="14"/>
    <s v="Distributor"/>
    <s v="Corporate"/>
    <x v="3"/>
    <x v="2"/>
    <s v="Table"/>
    <x v="3"/>
    <n v="1"/>
    <n v="6196"/>
    <n v="0.15"/>
    <x v="25"/>
    <n v="3739.29"/>
    <n v="1527.31"/>
    <n v="0.28999999999999998"/>
    <x v="1"/>
    <s v="Standard"/>
    <n v="3"/>
    <x v="0"/>
  </r>
  <r>
    <s v="ORD20250027"/>
    <x v="23"/>
    <s v="Feb"/>
    <x v="0"/>
    <n v="2025"/>
    <x v="2"/>
    <x v="10"/>
    <x v="15"/>
    <s v="Online"/>
    <s v="Consumer"/>
    <x v="8"/>
    <x v="0"/>
    <s v="Women"/>
    <x v="14"/>
    <n v="2"/>
    <n v="7003"/>
    <n v="0.14000000000000001"/>
    <x v="26"/>
    <n v="7588.45"/>
    <n v="4456.71"/>
    <n v="0.37"/>
    <x v="3"/>
    <s v="Standard"/>
    <n v="3"/>
    <x v="1"/>
  </r>
  <r>
    <s v="ORD20250028"/>
    <x v="24"/>
    <s v="Apr"/>
    <x v="3"/>
    <n v="2025"/>
    <x v="0"/>
    <x v="11"/>
    <x v="16"/>
    <s v="Online"/>
    <s v="Corporate"/>
    <x v="6"/>
    <x v="1"/>
    <s v="Mobile"/>
    <x v="12"/>
    <n v="3"/>
    <n v="22366"/>
    <n v="7.0000000000000007E-2"/>
    <x v="27"/>
    <n v="51168.93"/>
    <n v="11232.21"/>
    <n v="0.18"/>
    <x v="2"/>
    <s v="Express"/>
    <n v="3"/>
    <x v="1"/>
  </r>
  <r>
    <s v="ORD20250029"/>
    <x v="25"/>
    <s v="Jan"/>
    <x v="0"/>
    <n v="2025"/>
    <x v="2"/>
    <x v="8"/>
    <x v="10"/>
    <s v="Online"/>
    <s v="Corporate"/>
    <x v="0"/>
    <x v="1"/>
    <s v="Laptop"/>
    <x v="2"/>
    <n v="1"/>
    <n v="64519"/>
    <n v="0.12"/>
    <x v="28"/>
    <n v="48260.21"/>
    <n v="8516.51"/>
    <n v="0.15"/>
    <x v="3"/>
    <s v="Express"/>
    <n v="3"/>
    <x v="0"/>
  </r>
  <r>
    <s v="ORD20250030"/>
    <x v="26"/>
    <s v="Jun"/>
    <x v="3"/>
    <n v="2025"/>
    <x v="1"/>
    <x v="6"/>
    <x v="11"/>
    <s v="Retail Store"/>
    <s v="Corporate"/>
    <x v="3"/>
    <x v="0"/>
    <s v="Women"/>
    <x v="14"/>
    <n v="2"/>
    <n v="7882"/>
    <n v="0.06"/>
    <x v="29"/>
    <n v="9335.44"/>
    <n v="5482.72"/>
    <n v="0.37"/>
    <x v="0"/>
    <s v="Same Day"/>
    <n v="0"/>
    <x v="2"/>
  </r>
  <r>
    <s v="ORD20250031"/>
    <x v="19"/>
    <s v="Apr"/>
    <x v="3"/>
    <n v="2025"/>
    <x v="3"/>
    <x v="7"/>
    <x v="17"/>
    <s v="Distributor"/>
    <s v="Corporate"/>
    <x v="4"/>
    <x v="1"/>
    <s v="Mobile"/>
    <x v="12"/>
    <n v="4"/>
    <n v="23806"/>
    <n v="0.16"/>
    <x v="30"/>
    <n v="65590.289999999994"/>
    <n v="14397.87"/>
    <n v="0.18"/>
    <x v="1"/>
    <s v="Same Day"/>
    <n v="0"/>
    <x v="3"/>
  </r>
  <r>
    <s v="ORD20250032"/>
    <x v="27"/>
    <s v="May"/>
    <x v="3"/>
    <n v="2025"/>
    <x v="3"/>
    <x v="5"/>
    <x v="5"/>
    <s v="Distributor"/>
    <s v="Corporate"/>
    <x v="8"/>
    <x v="3"/>
    <s v="Beverages"/>
    <x v="9"/>
    <n v="16"/>
    <n v="305"/>
    <n v="0.11"/>
    <x v="31"/>
    <n v="2909.94"/>
    <n v="1433.26"/>
    <n v="0.33"/>
    <x v="4"/>
    <s v="Standard"/>
    <n v="6"/>
    <x v="1"/>
  </r>
  <r>
    <s v="ORD20250033"/>
    <x v="28"/>
    <s v="Jul"/>
    <x v="2"/>
    <n v="2025"/>
    <x v="1"/>
    <x v="6"/>
    <x v="11"/>
    <s v="Online"/>
    <s v="Corporate"/>
    <x v="3"/>
    <x v="1"/>
    <s v="Laptop"/>
    <x v="2"/>
    <n v="5"/>
    <n v="56621"/>
    <n v="0.15"/>
    <x v="32"/>
    <n v="204543.35999999999"/>
    <n v="36095.89"/>
    <n v="0.15"/>
    <x v="2"/>
    <s v="Same Day"/>
    <n v="0"/>
    <x v="0"/>
  </r>
  <r>
    <s v="ORD20250034"/>
    <x v="29"/>
    <s v="Jun"/>
    <x v="3"/>
    <n v="2025"/>
    <x v="2"/>
    <x v="4"/>
    <x v="14"/>
    <s v="Distributor"/>
    <s v="Corporate"/>
    <x v="7"/>
    <x v="0"/>
    <s v="Men"/>
    <x v="13"/>
    <n v="5"/>
    <n v="1435"/>
    <n v="0.09"/>
    <x v="33"/>
    <n v="3917.55"/>
    <n v="2611.6999999999998"/>
    <n v="0.4"/>
    <x v="2"/>
    <s v="Standard"/>
    <n v="3"/>
    <x v="0"/>
  </r>
  <r>
    <s v="ORD20250035"/>
    <x v="30"/>
    <s v="Jan"/>
    <x v="0"/>
    <n v="2025"/>
    <x v="2"/>
    <x v="10"/>
    <x v="18"/>
    <s v="Retail Store"/>
    <s v="Home Office"/>
    <x v="2"/>
    <x v="2"/>
    <s v="Chair"/>
    <x v="10"/>
    <n v="2"/>
    <n v="14099"/>
    <n v="0.1"/>
    <x v="34"/>
    <n v="18779.87"/>
    <n v="6598.33"/>
    <n v="0.26"/>
    <x v="1"/>
    <s v="Express"/>
    <n v="3"/>
    <x v="0"/>
  </r>
  <r>
    <s v="ORD20250036"/>
    <x v="31"/>
    <s v="Aug"/>
    <x v="2"/>
    <n v="2025"/>
    <x v="1"/>
    <x v="6"/>
    <x v="11"/>
    <s v="Distributor"/>
    <s v="Corporate"/>
    <x v="6"/>
    <x v="1"/>
    <s v="Mobile"/>
    <x v="12"/>
    <n v="2"/>
    <n v="30555"/>
    <n v="0.09"/>
    <x v="35"/>
    <n v="45600.28"/>
    <n v="10009.82"/>
    <n v="0.18"/>
    <x v="1"/>
    <s v="Express"/>
    <n v="3"/>
    <x v="0"/>
  </r>
  <r>
    <s v="ORD20250037"/>
    <x v="32"/>
    <s v="Dec"/>
    <x v="1"/>
    <n v="2025"/>
    <x v="0"/>
    <x v="2"/>
    <x v="13"/>
    <s v="Distributor"/>
    <s v="Corporate"/>
    <x v="4"/>
    <x v="1"/>
    <s v="Accessories"/>
    <x v="8"/>
    <n v="2"/>
    <n v="2294"/>
    <n v="0.17"/>
    <x v="36"/>
    <n v="2665.63"/>
    <n v="1142.4100000000001"/>
    <n v="0.3"/>
    <x v="3"/>
    <s v="Standard"/>
    <n v="7"/>
    <x v="0"/>
  </r>
  <r>
    <s v="ORD20250038"/>
    <x v="33"/>
    <s v="Jan"/>
    <x v="0"/>
    <n v="2025"/>
    <x v="3"/>
    <x v="12"/>
    <x v="19"/>
    <s v="Retail Store"/>
    <s v="Consumer"/>
    <x v="1"/>
    <x v="0"/>
    <s v="Women"/>
    <x v="0"/>
    <n v="6"/>
    <n v="3475"/>
    <n v="0.02"/>
    <x v="37"/>
    <n v="11646.81"/>
    <n v="8786.19"/>
    <n v="0.43"/>
    <x v="4"/>
    <s v="Same Day"/>
    <n v="0"/>
    <x v="3"/>
  </r>
  <r>
    <s v="ORD20250039"/>
    <x v="20"/>
    <s v="Feb"/>
    <x v="0"/>
    <n v="2025"/>
    <x v="2"/>
    <x v="10"/>
    <x v="15"/>
    <s v="Online"/>
    <s v="Consumer"/>
    <x v="4"/>
    <x v="1"/>
    <s v="Accessories"/>
    <x v="8"/>
    <n v="5"/>
    <n v="3445"/>
    <n v="0.14000000000000001"/>
    <x v="38"/>
    <n v="10369.450000000001"/>
    <n v="4444.05"/>
    <n v="0.3"/>
    <x v="2"/>
    <s v="Same Day"/>
    <n v="0"/>
    <x v="0"/>
  </r>
  <r>
    <s v="ORD20250040"/>
    <x v="34"/>
    <s v="Apr"/>
    <x v="3"/>
    <n v="2025"/>
    <x v="2"/>
    <x v="8"/>
    <x v="10"/>
    <s v="Distributor"/>
    <s v="Consumer"/>
    <x v="9"/>
    <x v="0"/>
    <s v="Men"/>
    <x v="4"/>
    <n v="12"/>
    <n v="1512"/>
    <n v="0.18"/>
    <x v="39"/>
    <n v="8629.2900000000009"/>
    <n v="6248.79"/>
    <n v="0.42"/>
    <x v="2"/>
    <s v="Same Day"/>
    <n v="0"/>
    <x v="0"/>
  </r>
  <r>
    <s v="ORD20250041"/>
    <x v="35"/>
    <s v="Aug"/>
    <x v="2"/>
    <n v="2025"/>
    <x v="2"/>
    <x v="8"/>
    <x v="10"/>
    <s v="Online"/>
    <s v="Consumer"/>
    <x v="0"/>
    <x v="1"/>
    <s v="Accessories"/>
    <x v="8"/>
    <n v="1"/>
    <n v="2176"/>
    <n v="7.0000000000000007E-2"/>
    <x v="40"/>
    <n v="1416.58"/>
    <n v="607.1"/>
    <n v="0.3"/>
    <x v="4"/>
    <s v="Express"/>
    <n v="1"/>
    <x v="0"/>
  </r>
  <r>
    <s v="ORD20250042"/>
    <x v="36"/>
    <s v="Apr"/>
    <x v="3"/>
    <n v="2025"/>
    <x v="1"/>
    <x v="6"/>
    <x v="6"/>
    <s v="Online"/>
    <s v="Home Office"/>
    <x v="4"/>
    <x v="3"/>
    <s v="Snacks"/>
    <x v="5"/>
    <n v="15"/>
    <n v="93"/>
    <n v="7.0000000000000007E-2"/>
    <x v="41"/>
    <n v="830.3"/>
    <n v="467.05"/>
    <n v="0.36"/>
    <x v="1"/>
    <s v="Standard"/>
    <n v="4"/>
    <x v="3"/>
  </r>
  <r>
    <s v="ORD20250043"/>
    <x v="37"/>
    <s v="Feb"/>
    <x v="0"/>
    <n v="2025"/>
    <x v="1"/>
    <x v="9"/>
    <x v="12"/>
    <s v="Online"/>
    <s v="Consumer"/>
    <x v="5"/>
    <x v="2"/>
    <s v="Table"/>
    <x v="3"/>
    <n v="1"/>
    <n v="7682"/>
    <n v="0.05"/>
    <x v="42"/>
    <n v="5181.51"/>
    <n v="2116.39"/>
    <n v="0.28999999999999998"/>
    <x v="3"/>
    <s v="Express"/>
    <n v="2"/>
    <x v="3"/>
  </r>
  <r>
    <s v="ORD20250044"/>
    <x v="38"/>
    <s v="Mar"/>
    <x v="0"/>
    <n v="2025"/>
    <x v="0"/>
    <x v="11"/>
    <x v="16"/>
    <s v="Distributor"/>
    <s v="Corporate"/>
    <x v="0"/>
    <x v="1"/>
    <s v="Accessories"/>
    <x v="15"/>
    <n v="3"/>
    <n v="1107"/>
    <n v="0.09"/>
    <x v="43"/>
    <n v="2055.0300000000002"/>
    <n v="967.08"/>
    <n v="0.32"/>
    <x v="4"/>
    <s v="Standard"/>
    <n v="3"/>
    <x v="0"/>
  </r>
  <r>
    <s v="ORD20250045"/>
    <x v="39"/>
    <s v="May"/>
    <x v="3"/>
    <n v="2025"/>
    <x v="3"/>
    <x v="5"/>
    <x v="5"/>
    <s v="Online"/>
    <s v="Home Office"/>
    <x v="3"/>
    <x v="2"/>
    <s v="Chair"/>
    <x v="7"/>
    <n v="1"/>
    <n v="6510"/>
    <n v="0.05"/>
    <x v="44"/>
    <n v="4452.84"/>
    <n v="1731.66"/>
    <n v="0.28000000000000003"/>
    <x v="1"/>
    <s v="Express"/>
    <n v="3"/>
    <x v="3"/>
  </r>
  <r>
    <s v="ORD20250046"/>
    <x v="40"/>
    <s v="Jul"/>
    <x v="2"/>
    <n v="2025"/>
    <x v="0"/>
    <x v="0"/>
    <x v="8"/>
    <s v="Retail Store"/>
    <s v="Home Office"/>
    <x v="7"/>
    <x v="0"/>
    <s v="Men"/>
    <x v="4"/>
    <n v="5"/>
    <n v="1490"/>
    <n v="0.1"/>
    <x v="45"/>
    <n v="3888.9"/>
    <n v="2816.1"/>
    <n v="0.42"/>
    <x v="1"/>
    <s v="Express"/>
    <n v="2"/>
    <x v="0"/>
  </r>
  <r>
    <s v="ORD20250047"/>
    <x v="41"/>
    <s v="Mar"/>
    <x v="0"/>
    <n v="2025"/>
    <x v="2"/>
    <x v="10"/>
    <x v="18"/>
    <s v="Distributor"/>
    <s v="Corporate"/>
    <x v="1"/>
    <x v="0"/>
    <s v="Men"/>
    <x v="13"/>
    <n v="6"/>
    <n v="1402"/>
    <n v="0.1"/>
    <x v="46"/>
    <n v="4542.4799999999996"/>
    <n v="3028.32"/>
    <n v="0.4"/>
    <x v="3"/>
    <s v="Standard"/>
    <n v="4"/>
    <x v="1"/>
  </r>
  <r>
    <s v="ORD20250048"/>
    <x v="42"/>
    <s v="May"/>
    <x v="3"/>
    <n v="2025"/>
    <x v="2"/>
    <x v="8"/>
    <x v="10"/>
    <s v="Online"/>
    <s v="Home Office"/>
    <x v="9"/>
    <x v="0"/>
    <s v="Women"/>
    <x v="14"/>
    <n v="12"/>
    <n v="5408"/>
    <n v="0.11"/>
    <x v="47"/>
    <n v="36387.19"/>
    <n v="21370.25"/>
    <n v="0.37"/>
    <x v="3"/>
    <s v="Same Day"/>
    <n v="0"/>
    <x v="0"/>
  </r>
  <r>
    <s v="ORD20250049"/>
    <x v="27"/>
    <s v="May"/>
    <x v="3"/>
    <n v="2025"/>
    <x v="2"/>
    <x v="10"/>
    <x v="15"/>
    <s v="Online"/>
    <s v="Corporate"/>
    <x v="8"/>
    <x v="3"/>
    <s v="Snacks"/>
    <x v="16"/>
    <n v="13"/>
    <n v="107"/>
    <n v="0.15"/>
    <x v="48"/>
    <n v="733.06"/>
    <n v="449.29"/>
    <n v="0.38"/>
    <x v="3"/>
    <s v="Standard"/>
    <n v="6"/>
    <x v="0"/>
  </r>
  <r>
    <s v="ORD20250050"/>
    <x v="43"/>
    <s v="Jul"/>
    <x v="2"/>
    <n v="2025"/>
    <x v="1"/>
    <x v="1"/>
    <x v="1"/>
    <s v="Retail Store"/>
    <s v="Home Office"/>
    <x v="8"/>
    <x v="0"/>
    <s v="Women"/>
    <x v="0"/>
    <n v="11"/>
    <n v="3216"/>
    <n v="0"/>
    <x v="49"/>
    <n v="20164.32"/>
    <n v="15211.68"/>
    <n v="0.43"/>
    <x v="1"/>
    <s v="Same Day"/>
    <n v="0"/>
    <x v="0"/>
  </r>
  <r>
    <s v="ORD20250051"/>
    <x v="27"/>
    <s v="May"/>
    <x v="3"/>
    <n v="2025"/>
    <x v="0"/>
    <x v="0"/>
    <x v="0"/>
    <s v="Retail Store"/>
    <s v="Consumer"/>
    <x v="6"/>
    <x v="0"/>
    <s v="Men"/>
    <x v="4"/>
    <n v="7"/>
    <n v="1968"/>
    <n v="0.03"/>
    <x v="50"/>
    <n v="7750.38"/>
    <n v="5612.34"/>
    <n v="0.42"/>
    <x v="0"/>
    <s v="Express"/>
    <n v="3"/>
    <x v="1"/>
  </r>
  <r>
    <s v="ORD20250052"/>
    <x v="44"/>
    <s v="Aug"/>
    <x v="2"/>
    <n v="2025"/>
    <x v="1"/>
    <x v="1"/>
    <x v="20"/>
    <s v="Online"/>
    <s v="Corporate"/>
    <x v="8"/>
    <x v="0"/>
    <s v="Men"/>
    <x v="4"/>
    <n v="3"/>
    <n v="1388"/>
    <n v="0.05"/>
    <x v="51"/>
    <n v="2294.36"/>
    <n v="1661.44"/>
    <n v="0.42"/>
    <x v="0"/>
    <s v="Express"/>
    <n v="3"/>
    <x v="0"/>
  </r>
  <r>
    <s v="ORD20250053"/>
    <x v="45"/>
    <s v="Oct"/>
    <x v="1"/>
    <n v="2025"/>
    <x v="2"/>
    <x v="10"/>
    <x v="15"/>
    <s v="Retail Store"/>
    <s v="Consumer"/>
    <x v="9"/>
    <x v="1"/>
    <s v="Laptop"/>
    <x v="17"/>
    <n v="3"/>
    <n v="56019"/>
    <n v="0.05"/>
    <x v="52"/>
    <n v="134109.49"/>
    <n v="25544.66"/>
    <n v="0.16"/>
    <x v="4"/>
    <s v="Express"/>
    <n v="3"/>
    <x v="1"/>
  </r>
  <r>
    <s v="ORD20250054"/>
    <x v="46"/>
    <s v="May"/>
    <x v="3"/>
    <n v="2025"/>
    <x v="0"/>
    <x v="2"/>
    <x v="2"/>
    <s v="Online"/>
    <s v="Corporate"/>
    <x v="1"/>
    <x v="2"/>
    <s v="Table"/>
    <x v="3"/>
    <n v="2"/>
    <n v="8737"/>
    <n v="0.15"/>
    <x v="53"/>
    <n v="10545.56"/>
    <n v="4307.34"/>
    <n v="0.28999999999999998"/>
    <x v="1"/>
    <s v="Same Day"/>
    <n v="0"/>
    <x v="0"/>
  </r>
  <r>
    <s v="ORD20250055"/>
    <x v="47"/>
    <s v="Feb"/>
    <x v="0"/>
    <n v="2025"/>
    <x v="3"/>
    <x v="13"/>
    <x v="21"/>
    <s v="Online"/>
    <s v="Consumer"/>
    <x v="5"/>
    <x v="1"/>
    <s v="Mobile"/>
    <x v="1"/>
    <n v="1"/>
    <n v="67033"/>
    <n v="0.06"/>
    <x v="54"/>
    <n v="55449.7"/>
    <n v="7561.32"/>
    <n v="0.12"/>
    <x v="4"/>
    <s v="Same Day"/>
    <n v="0"/>
    <x v="0"/>
  </r>
  <r>
    <s v="ORD20250056"/>
    <x v="44"/>
    <s v="Aug"/>
    <x v="2"/>
    <n v="2025"/>
    <x v="2"/>
    <x v="8"/>
    <x v="10"/>
    <s v="Online"/>
    <s v="Home Office"/>
    <x v="6"/>
    <x v="3"/>
    <s v="Snacks"/>
    <x v="5"/>
    <n v="15"/>
    <n v="110"/>
    <n v="0.13"/>
    <x v="55"/>
    <n v="918.72"/>
    <n v="516.78"/>
    <n v="0.36"/>
    <x v="4"/>
    <s v="Express"/>
    <n v="3"/>
    <x v="0"/>
  </r>
  <r>
    <s v="ORD20250057"/>
    <x v="48"/>
    <s v="Aug"/>
    <x v="2"/>
    <n v="2025"/>
    <x v="0"/>
    <x v="0"/>
    <x v="8"/>
    <s v="Distributor"/>
    <s v="Consumer"/>
    <x v="6"/>
    <x v="2"/>
    <s v="Chair"/>
    <x v="7"/>
    <n v="2"/>
    <n v="4989"/>
    <n v="0.14000000000000001"/>
    <x v="56"/>
    <n v="6178.38"/>
    <n v="2402.6999999999998"/>
    <n v="0.28000000000000003"/>
    <x v="2"/>
    <s v="Same Day"/>
    <n v="0"/>
    <x v="1"/>
  </r>
  <r>
    <s v="ORD20250058"/>
    <x v="22"/>
    <s v="Nov"/>
    <x v="1"/>
    <n v="2025"/>
    <x v="0"/>
    <x v="0"/>
    <x v="0"/>
    <s v="Retail Store"/>
    <s v="Corporate"/>
    <x v="6"/>
    <x v="0"/>
    <s v="Women"/>
    <x v="14"/>
    <n v="5"/>
    <n v="7577"/>
    <n v="0.06"/>
    <x v="57"/>
    <n v="22435.5"/>
    <n v="13176.4"/>
    <n v="0.37"/>
    <x v="4"/>
    <s v="Express"/>
    <n v="1"/>
    <x v="2"/>
  </r>
  <r>
    <s v="ORD20250059"/>
    <x v="49"/>
    <s v="Dec"/>
    <x v="1"/>
    <n v="2025"/>
    <x v="1"/>
    <x v="3"/>
    <x v="3"/>
    <s v="Distributor"/>
    <s v="Home Office"/>
    <x v="4"/>
    <x v="0"/>
    <s v="Women"/>
    <x v="0"/>
    <n v="12"/>
    <n v="2595"/>
    <n v="0.09"/>
    <x v="58"/>
    <n v="16152.32"/>
    <n v="12185.08"/>
    <n v="0.43"/>
    <x v="3"/>
    <s v="Standard"/>
    <n v="5"/>
    <x v="3"/>
  </r>
  <r>
    <s v="ORD20250060"/>
    <x v="41"/>
    <s v="Mar"/>
    <x v="0"/>
    <n v="2025"/>
    <x v="0"/>
    <x v="2"/>
    <x v="13"/>
    <s v="Online"/>
    <s v="Consumer"/>
    <x v="2"/>
    <x v="1"/>
    <s v="Mobile"/>
    <x v="1"/>
    <n v="5"/>
    <n v="59260"/>
    <n v="0.11"/>
    <x v="59"/>
    <n v="232062.16"/>
    <n v="31644.84"/>
    <n v="0.12"/>
    <x v="3"/>
    <s v="Same Day"/>
    <n v="0"/>
    <x v="0"/>
  </r>
  <r>
    <s v="ORD20250061"/>
    <x v="50"/>
    <s v="Apr"/>
    <x v="3"/>
    <n v="2025"/>
    <x v="3"/>
    <x v="12"/>
    <x v="19"/>
    <s v="Online"/>
    <s v="Home Office"/>
    <x v="6"/>
    <x v="0"/>
    <s v="Men"/>
    <x v="13"/>
    <n v="7"/>
    <n v="1804"/>
    <n v="0.1"/>
    <x v="60"/>
    <n v="6819.12"/>
    <n v="4546.08"/>
    <n v="0.4"/>
    <x v="1"/>
    <s v="Standard"/>
    <n v="5"/>
    <x v="3"/>
  </r>
  <r>
    <s v="ORD20250062"/>
    <x v="51"/>
    <s v="Mar"/>
    <x v="0"/>
    <n v="2025"/>
    <x v="3"/>
    <x v="5"/>
    <x v="5"/>
    <s v="Retail Store"/>
    <s v="Consumer"/>
    <x v="1"/>
    <x v="2"/>
    <s v="Chair"/>
    <x v="10"/>
    <n v="2"/>
    <n v="12186"/>
    <n v="0.02"/>
    <x v="61"/>
    <n v="17674.57"/>
    <n v="6209.99"/>
    <n v="0.26"/>
    <x v="4"/>
    <s v="Express"/>
    <n v="3"/>
    <x v="2"/>
  </r>
  <r>
    <s v="ORD20250063"/>
    <x v="52"/>
    <s v="Feb"/>
    <x v="0"/>
    <n v="2025"/>
    <x v="3"/>
    <x v="13"/>
    <x v="21"/>
    <s v="Online"/>
    <s v="Corporate"/>
    <x v="7"/>
    <x v="1"/>
    <s v="Laptop"/>
    <x v="2"/>
    <n v="2"/>
    <n v="66583"/>
    <n v="0.13"/>
    <x v="62"/>
    <n v="98476.26"/>
    <n v="17378.16"/>
    <n v="0.15"/>
    <x v="2"/>
    <s v="Standard"/>
    <n v="4"/>
    <x v="0"/>
  </r>
  <r>
    <s v="ORD20250064"/>
    <x v="53"/>
    <s v="Oct"/>
    <x v="1"/>
    <n v="2025"/>
    <x v="2"/>
    <x v="4"/>
    <x v="9"/>
    <s v="Online"/>
    <s v="Corporate"/>
    <x v="8"/>
    <x v="1"/>
    <s v="Mobile"/>
    <x v="12"/>
    <n v="5"/>
    <n v="22312"/>
    <n v="7.0000000000000007E-2"/>
    <x v="63"/>
    <n v="85075.66"/>
    <n v="18675.14"/>
    <n v="0.18"/>
    <x v="2"/>
    <s v="Same Day"/>
    <n v="0"/>
    <x v="3"/>
  </r>
  <r>
    <s v="ORD20250065"/>
    <x v="54"/>
    <s v="Dec"/>
    <x v="1"/>
    <n v="2025"/>
    <x v="0"/>
    <x v="11"/>
    <x v="16"/>
    <s v="Distributor"/>
    <s v="Home Office"/>
    <x v="3"/>
    <x v="1"/>
    <s v="Laptop"/>
    <x v="17"/>
    <n v="2"/>
    <n v="61465"/>
    <n v="0.16"/>
    <x v="64"/>
    <n v="86739.41"/>
    <n v="16521.79"/>
    <n v="0.16"/>
    <x v="2"/>
    <s v="Same Day"/>
    <n v="0"/>
    <x v="0"/>
  </r>
  <r>
    <s v="ORD20250066"/>
    <x v="35"/>
    <s v="Aug"/>
    <x v="2"/>
    <n v="2025"/>
    <x v="1"/>
    <x v="1"/>
    <x v="20"/>
    <s v="Distributor"/>
    <s v="Corporate"/>
    <x v="9"/>
    <x v="0"/>
    <s v="Men"/>
    <x v="13"/>
    <n v="9"/>
    <n v="1584"/>
    <n v="0.1"/>
    <x v="65"/>
    <n v="7698.24"/>
    <n v="5132.16"/>
    <n v="0.4"/>
    <x v="1"/>
    <s v="Standard"/>
    <n v="7"/>
    <x v="2"/>
  </r>
  <r>
    <s v="ORD20250067"/>
    <x v="55"/>
    <s v="Oct"/>
    <x v="1"/>
    <n v="2025"/>
    <x v="0"/>
    <x v="0"/>
    <x v="8"/>
    <s v="Retail Store"/>
    <s v="Corporate"/>
    <x v="5"/>
    <x v="3"/>
    <s v="Beverages"/>
    <x v="6"/>
    <n v="5"/>
    <n v="387"/>
    <n v="0.09"/>
    <x v="66"/>
    <n v="1162.1600000000001"/>
    <n v="598.69000000000005"/>
    <n v="0.34"/>
    <x v="3"/>
    <s v="Same Day"/>
    <n v="0"/>
    <x v="0"/>
  </r>
  <r>
    <s v="ORD20250068"/>
    <x v="56"/>
    <s v="Feb"/>
    <x v="0"/>
    <n v="2025"/>
    <x v="2"/>
    <x v="4"/>
    <x v="9"/>
    <s v="Online"/>
    <s v="Home Office"/>
    <x v="6"/>
    <x v="0"/>
    <s v="Men"/>
    <x v="13"/>
    <n v="2"/>
    <n v="2234"/>
    <n v="0.1"/>
    <x v="67"/>
    <n v="2412.7199999999998"/>
    <n v="1608.48"/>
    <n v="0.4"/>
    <x v="3"/>
    <s v="Same Day"/>
    <n v="0"/>
    <x v="0"/>
  </r>
  <r>
    <s v="ORD20250069"/>
    <x v="15"/>
    <s v="Sep"/>
    <x v="2"/>
    <n v="2025"/>
    <x v="3"/>
    <x v="13"/>
    <x v="22"/>
    <s v="Retail Store"/>
    <s v="Consumer"/>
    <x v="0"/>
    <x v="2"/>
    <s v="Table"/>
    <x v="3"/>
    <n v="2"/>
    <n v="5337"/>
    <n v="0.09"/>
    <x v="68"/>
    <n v="6896.47"/>
    <n v="2816.87"/>
    <n v="0.28999999999999998"/>
    <x v="3"/>
    <s v="Express"/>
    <n v="3"/>
    <x v="1"/>
  </r>
  <r>
    <s v="ORD20250070"/>
    <x v="16"/>
    <s v="Jun"/>
    <x v="3"/>
    <n v="2025"/>
    <x v="2"/>
    <x v="8"/>
    <x v="10"/>
    <s v="Distributor"/>
    <s v="Corporate"/>
    <x v="0"/>
    <x v="1"/>
    <s v="Mobile"/>
    <x v="1"/>
    <n v="4"/>
    <n v="69386"/>
    <n v="0.11"/>
    <x v="69"/>
    <n v="217372.46"/>
    <n v="29641.7"/>
    <n v="0.12"/>
    <x v="1"/>
    <s v="Express"/>
    <n v="1"/>
    <x v="0"/>
  </r>
  <r>
    <s v="ORD20250071"/>
    <x v="39"/>
    <s v="May"/>
    <x v="3"/>
    <n v="2025"/>
    <x v="3"/>
    <x v="5"/>
    <x v="5"/>
    <s v="Retail Store"/>
    <s v="Home Office"/>
    <x v="5"/>
    <x v="1"/>
    <s v="Laptop"/>
    <x v="17"/>
    <n v="4"/>
    <n v="56988"/>
    <n v="0.04"/>
    <x v="70"/>
    <n v="183820.49"/>
    <n v="35013.43"/>
    <n v="0.16"/>
    <x v="4"/>
    <s v="Standard"/>
    <n v="5"/>
    <x v="0"/>
  </r>
  <r>
    <s v="ORD20250072"/>
    <x v="57"/>
    <s v="Apr"/>
    <x v="3"/>
    <n v="2025"/>
    <x v="3"/>
    <x v="7"/>
    <x v="7"/>
    <s v="Online"/>
    <s v="Consumer"/>
    <x v="4"/>
    <x v="3"/>
    <s v="Beverages"/>
    <x v="6"/>
    <n v="25"/>
    <n v="309"/>
    <n v="0.13"/>
    <x v="71"/>
    <n v="4435.7"/>
    <n v="2285.0500000000002"/>
    <n v="0.34"/>
    <x v="3"/>
    <s v="Express"/>
    <n v="1"/>
    <x v="1"/>
  </r>
  <r>
    <s v="ORD20250073"/>
    <x v="47"/>
    <s v="Feb"/>
    <x v="0"/>
    <n v="2025"/>
    <x v="0"/>
    <x v="2"/>
    <x v="13"/>
    <s v="Retail Store"/>
    <s v="Home Office"/>
    <x v="0"/>
    <x v="1"/>
    <s v="Accessories"/>
    <x v="15"/>
    <n v="3"/>
    <n v="1013"/>
    <n v="0"/>
    <x v="72"/>
    <n v="2066.52"/>
    <n v="972.48"/>
    <n v="0.32"/>
    <x v="2"/>
    <s v="Standard"/>
    <n v="5"/>
    <x v="0"/>
  </r>
  <r>
    <s v="ORD20250074"/>
    <x v="58"/>
    <s v="Nov"/>
    <x v="1"/>
    <n v="2025"/>
    <x v="1"/>
    <x v="3"/>
    <x v="3"/>
    <s v="Distributor"/>
    <s v="Home Office"/>
    <x v="9"/>
    <x v="3"/>
    <s v="Snacks"/>
    <x v="16"/>
    <n v="23"/>
    <n v="47"/>
    <n v="0.14000000000000001"/>
    <x v="73"/>
    <n v="576.39"/>
    <n v="353.27"/>
    <n v="0.38"/>
    <x v="2"/>
    <s v="Express"/>
    <n v="1"/>
    <x v="1"/>
  </r>
  <r>
    <s v="ORD20250075"/>
    <x v="30"/>
    <s v="Jan"/>
    <x v="0"/>
    <n v="2025"/>
    <x v="0"/>
    <x v="0"/>
    <x v="0"/>
    <s v="Distributor"/>
    <s v="Corporate"/>
    <x v="3"/>
    <x v="1"/>
    <s v="Accessories"/>
    <x v="15"/>
    <n v="5"/>
    <n v="836"/>
    <n v="0.1"/>
    <x v="74"/>
    <n v="2558.16"/>
    <n v="1203.8399999999999"/>
    <n v="0.32"/>
    <x v="2"/>
    <s v="Standard"/>
    <n v="5"/>
    <x v="0"/>
  </r>
  <r>
    <s v="ORD20250076"/>
    <x v="59"/>
    <s v="Nov"/>
    <x v="1"/>
    <n v="2025"/>
    <x v="2"/>
    <x v="8"/>
    <x v="10"/>
    <s v="Distributor"/>
    <s v="Consumer"/>
    <x v="1"/>
    <x v="0"/>
    <s v="Women"/>
    <x v="14"/>
    <n v="6"/>
    <n v="4113"/>
    <n v="0.11"/>
    <x v="75"/>
    <n v="13836.95"/>
    <n v="8126.47"/>
    <n v="0.37"/>
    <x v="4"/>
    <s v="Same Day"/>
    <n v="0"/>
    <x v="2"/>
  </r>
  <r>
    <s v="ORD20250077"/>
    <x v="60"/>
    <s v="Aug"/>
    <x v="2"/>
    <n v="2025"/>
    <x v="2"/>
    <x v="8"/>
    <x v="10"/>
    <s v="Retail Store"/>
    <s v="Home Office"/>
    <x v="9"/>
    <x v="0"/>
    <s v="Men"/>
    <x v="4"/>
    <n v="5"/>
    <n v="1333"/>
    <n v="0.05"/>
    <x v="76"/>
    <n v="3672.42"/>
    <n v="2659.33"/>
    <n v="0.42"/>
    <x v="0"/>
    <s v="Express"/>
    <n v="3"/>
    <x v="2"/>
  </r>
  <r>
    <s v="ORD20250078"/>
    <x v="61"/>
    <s v="Jun"/>
    <x v="3"/>
    <n v="2025"/>
    <x v="0"/>
    <x v="0"/>
    <x v="8"/>
    <s v="Distributor"/>
    <s v="Consumer"/>
    <x v="1"/>
    <x v="3"/>
    <s v="Beverages"/>
    <x v="6"/>
    <n v="19"/>
    <n v="396"/>
    <n v="0.15"/>
    <x v="77"/>
    <n v="4220.96"/>
    <n v="2174.44"/>
    <n v="0.34"/>
    <x v="4"/>
    <s v="Express"/>
    <n v="3"/>
    <x v="0"/>
  </r>
  <r>
    <s v="ORD20250079"/>
    <x v="62"/>
    <s v="Jan"/>
    <x v="0"/>
    <n v="2025"/>
    <x v="3"/>
    <x v="5"/>
    <x v="5"/>
    <s v="Retail Store"/>
    <s v="Corporate"/>
    <x v="9"/>
    <x v="1"/>
    <s v="Accessories"/>
    <x v="15"/>
    <n v="2"/>
    <n v="934"/>
    <n v="0.03"/>
    <x v="78"/>
    <n v="1232.1300000000001"/>
    <n v="579.83000000000004"/>
    <n v="0.32"/>
    <x v="2"/>
    <s v="Same Day"/>
    <n v="0"/>
    <x v="0"/>
  </r>
  <r>
    <s v="ORD20250080"/>
    <x v="63"/>
    <s v="Nov"/>
    <x v="1"/>
    <n v="2025"/>
    <x v="2"/>
    <x v="10"/>
    <x v="15"/>
    <s v="Retail Store"/>
    <s v="Home Office"/>
    <x v="1"/>
    <x v="3"/>
    <s v="Beverages"/>
    <x v="9"/>
    <n v="24"/>
    <n v="404"/>
    <n v="0.06"/>
    <x v="79"/>
    <n v="6106.54"/>
    <n v="3007.7"/>
    <n v="0.33"/>
    <x v="3"/>
    <s v="Same Day"/>
    <n v="0"/>
    <x v="0"/>
  </r>
  <r>
    <s v="ORD20250081"/>
    <x v="64"/>
    <s v="Oct"/>
    <x v="1"/>
    <n v="2025"/>
    <x v="2"/>
    <x v="10"/>
    <x v="15"/>
    <s v="Online"/>
    <s v="Corporate"/>
    <x v="3"/>
    <x v="1"/>
    <s v="Mobile"/>
    <x v="12"/>
    <n v="6"/>
    <n v="25344"/>
    <n v="0.09"/>
    <x v="80"/>
    <n v="113470.16"/>
    <n v="24908.080000000002"/>
    <n v="0.18"/>
    <x v="0"/>
    <s v="Express"/>
    <n v="3"/>
    <x v="2"/>
  </r>
  <r>
    <s v="ORD20250082"/>
    <x v="3"/>
    <s v="Jul"/>
    <x v="2"/>
    <n v="2025"/>
    <x v="0"/>
    <x v="11"/>
    <x v="16"/>
    <s v="Retail Store"/>
    <s v="Corporate"/>
    <x v="1"/>
    <x v="3"/>
    <s v="Beverages"/>
    <x v="9"/>
    <n v="19"/>
    <n v="469"/>
    <n v="7.0000000000000007E-2"/>
    <x v="81"/>
    <n v="5552.44"/>
    <n v="2734.79"/>
    <n v="0.33"/>
    <x v="3"/>
    <s v="Express"/>
    <n v="1"/>
    <x v="2"/>
  </r>
  <r>
    <s v="ORD20250083"/>
    <x v="65"/>
    <s v="Oct"/>
    <x v="1"/>
    <n v="2025"/>
    <x v="1"/>
    <x v="3"/>
    <x v="3"/>
    <s v="Retail Store"/>
    <s v="Consumer"/>
    <x v="1"/>
    <x v="3"/>
    <s v="Beverages"/>
    <x v="9"/>
    <n v="6"/>
    <n v="553"/>
    <n v="0.06"/>
    <x v="82"/>
    <n v="2089.6799999999998"/>
    <n v="1029.24"/>
    <n v="0.33"/>
    <x v="4"/>
    <s v="Standard"/>
    <n v="4"/>
    <x v="0"/>
  </r>
  <r>
    <s v="ORD20250084"/>
    <x v="24"/>
    <s v="Apr"/>
    <x v="3"/>
    <n v="2025"/>
    <x v="1"/>
    <x v="1"/>
    <x v="1"/>
    <s v="Distributor"/>
    <s v="Corporate"/>
    <x v="6"/>
    <x v="2"/>
    <s v="Chair"/>
    <x v="7"/>
    <n v="2"/>
    <n v="8957"/>
    <n v="0.08"/>
    <x v="83"/>
    <n v="11866.23"/>
    <n v="4614.6499999999996"/>
    <n v="0.28000000000000003"/>
    <x v="0"/>
    <s v="Same Day"/>
    <n v="0"/>
    <x v="0"/>
  </r>
  <r>
    <s v="ORD20250085"/>
    <x v="66"/>
    <s v="Jul"/>
    <x v="2"/>
    <n v="2025"/>
    <x v="0"/>
    <x v="2"/>
    <x v="2"/>
    <s v="Distributor"/>
    <s v="Consumer"/>
    <x v="9"/>
    <x v="2"/>
    <s v="Chair"/>
    <x v="10"/>
    <n v="1"/>
    <n v="12891"/>
    <n v="0.15"/>
    <x v="84"/>
    <n v="8108.44"/>
    <n v="2848.91"/>
    <n v="0.26"/>
    <x v="1"/>
    <s v="Express"/>
    <n v="3"/>
    <x v="3"/>
  </r>
  <r>
    <s v="ORD20250086"/>
    <x v="67"/>
    <s v="Mar"/>
    <x v="0"/>
    <n v="2025"/>
    <x v="2"/>
    <x v="4"/>
    <x v="14"/>
    <s v="Distributor"/>
    <s v="Consumer"/>
    <x v="6"/>
    <x v="1"/>
    <s v="Laptop"/>
    <x v="2"/>
    <n v="3"/>
    <n v="67342"/>
    <n v="0.15"/>
    <x v="85"/>
    <n v="145963.79"/>
    <n v="25758.31"/>
    <n v="0.15"/>
    <x v="2"/>
    <s v="Same Day"/>
    <n v="0"/>
    <x v="0"/>
  </r>
  <r>
    <s v="ORD20250087"/>
    <x v="68"/>
    <s v="Mar"/>
    <x v="0"/>
    <n v="2025"/>
    <x v="2"/>
    <x v="10"/>
    <x v="15"/>
    <s v="Distributor"/>
    <s v="Home Office"/>
    <x v="1"/>
    <x v="1"/>
    <s v="Laptop"/>
    <x v="17"/>
    <n v="6"/>
    <n v="61497"/>
    <n v="0.12"/>
    <x v="86"/>
    <n v="272751.49"/>
    <n v="51952.67"/>
    <n v="0.16"/>
    <x v="1"/>
    <s v="Express"/>
    <n v="2"/>
    <x v="1"/>
  </r>
  <r>
    <s v="ORD20250088"/>
    <x v="64"/>
    <s v="Oct"/>
    <x v="1"/>
    <n v="2025"/>
    <x v="2"/>
    <x v="10"/>
    <x v="18"/>
    <s v="Distributor"/>
    <s v="Home Office"/>
    <x v="3"/>
    <x v="1"/>
    <s v="Laptop"/>
    <x v="17"/>
    <n v="6"/>
    <n v="52766"/>
    <n v="0.16"/>
    <x v="87"/>
    <n v="223390.14"/>
    <n v="42550.5"/>
    <n v="0.16"/>
    <x v="3"/>
    <s v="Standard"/>
    <n v="7"/>
    <x v="2"/>
  </r>
  <r>
    <s v="ORD20250089"/>
    <x v="69"/>
    <s v="Jul"/>
    <x v="2"/>
    <n v="2025"/>
    <x v="0"/>
    <x v="2"/>
    <x v="2"/>
    <s v="Online"/>
    <s v="Home Office"/>
    <x v="4"/>
    <x v="0"/>
    <s v="Men"/>
    <x v="13"/>
    <n v="7"/>
    <n v="2608"/>
    <n v="0.13"/>
    <x v="88"/>
    <n v="9529.6299999999992"/>
    <n v="6353.09"/>
    <n v="0.4"/>
    <x v="2"/>
    <s v="Standard"/>
    <n v="3"/>
    <x v="0"/>
  </r>
  <r>
    <s v="ORD20250090"/>
    <x v="70"/>
    <s v="Mar"/>
    <x v="0"/>
    <n v="2025"/>
    <x v="0"/>
    <x v="11"/>
    <x v="16"/>
    <s v="Distributor"/>
    <s v="Home Office"/>
    <x v="5"/>
    <x v="1"/>
    <s v="Mobile"/>
    <x v="1"/>
    <n v="3"/>
    <n v="68536"/>
    <n v="0.14000000000000001"/>
    <x v="89"/>
    <n v="155604.13"/>
    <n v="21218.75"/>
    <n v="0.12"/>
    <x v="2"/>
    <s v="Same Day"/>
    <n v="0"/>
    <x v="1"/>
  </r>
  <r>
    <s v="ORD20250091"/>
    <x v="71"/>
    <s v="Aug"/>
    <x v="2"/>
    <n v="2025"/>
    <x v="2"/>
    <x v="4"/>
    <x v="14"/>
    <s v="Distributor"/>
    <s v="Home Office"/>
    <x v="2"/>
    <x v="1"/>
    <s v="Accessories"/>
    <x v="8"/>
    <n v="6"/>
    <n v="2264"/>
    <n v="0.18"/>
    <x v="90"/>
    <n v="7797.22"/>
    <n v="3341.66"/>
    <n v="0.3"/>
    <x v="4"/>
    <s v="Express"/>
    <n v="1"/>
    <x v="0"/>
  </r>
  <r>
    <s v="ORD20250092"/>
    <x v="72"/>
    <s v="Sep"/>
    <x v="2"/>
    <n v="2025"/>
    <x v="1"/>
    <x v="1"/>
    <x v="1"/>
    <s v="Retail Store"/>
    <s v="Corporate"/>
    <x v="3"/>
    <x v="1"/>
    <s v="Mobile"/>
    <x v="12"/>
    <n v="4"/>
    <n v="26184"/>
    <n v="0.06"/>
    <x v="91"/>
    <n v="80730.509999999995"/>
    <n v="17721.330000000002"/>
    <n v="0.18"/>
    <x v="2"/>
    <s v="Same Day"/>
    <n v="0"/>
    <x v="0"/>
  </r>
  <r>
    <s v="ORD20250093"/>
    <x v="49"/>
    <s v="Dec"/>
    <x v="1"/>
    <n v="2025"/>
    <x v="3"/>
    <x v="7"/>
    <x v="7"/>
    <s v="Retail Store"/>
    <s v="Consumer"/>
    <x v="6"/>
    <x v="3"/>
    <s v="Beverages"/>
    <x v="6"/>
    <n v="11"/>
    <n v="337"/>
    <n v="0.08"/>
    <x v="92"/>
    <n v="2250.89"/>
    <n v="1159.55"/>
    <n v="0.34"/>
    <x v="2"/>
    <s v="Express"/>
    <n v="1"/>
    <x v="3"/>
  </r>
  <r>
    <s v="ORD20250094"/>
    <x v="28"/>
    <s v="Jul"/>
    <x v="2"/>
    <n v="2025"/>
    <x v="1"/>
    <x v="6"/>
    <x v="11"/>
    <s v="Distributor"/>
    <s v="Corporate"/>
    <x v="2"/>
    <x v="2"/>
    <s v="Table"/>
    <x v="3"/>
    <n v="3"/>
    <n v="10861"/>
    <n v="0.08"/>
    <x v="93"/>
    <n v="21283.22"/>
    <n v="8693.14"/>
    <n v="0.28999999999999998"/>
    <x v="0"/>
    <s v="Standard"/>
    <n v="5"/>
    <x v="3"/>
  </r>
  <r>
    <s v="ORD20250095"/>
    <x v="73"/>
    <s v="Sep"/>
    <x v="2"/>
    <n v="2025"/>
    <x v="2"/>
    <x v="10"/>
    <x v="18"/>
    <s v="Online"/>
    <s v="Consumer"/>
    <x v="6"/>
    <x v="2"/>
    <s v="Table"/>
    <x v="3"/>
    <n v="1"/>
    <n v="7318"/>
    <n v="7.0000000000000007E-2"/>
    <x v="94"/>
    <n v="4832.08"/>
    <n v="1973.66"/>
    <n v="0.28999999999999998"/>
    <x v="4"/>
    <s v="Same Day"/>
    <n v="0"/>
    <x v="2"/>
  </r>
  <r>
    <s v="ORD20250096"/>
    <x v="71"/>
    <s v="Aug"/>
    <x v="2"/>
    <n v="2025"/>
    <x v="1"/>
    <x v="9"/>
    <x v="12"/>
    <s v="Retail Store"/>
    <s v="Corporate"/>
    <x v="4"/>
    <x v="0"/>
    <s v="Women"/>
    <x v="0"/>
    <n v="8"/>
    <n v="1888"/>
    <n v="0.05"/>
    <x v="95"/>
    <n v="8178.82"/>
    <n v="6169.98"/>
    <n v="0.43"/>
    <x v="4"/>
    <s v="Express"/>
    <n v="1"/>
    <x v="0"/>
  </r>
  <r>
    <s v="ORD20250097"/>
    <x v="74"/>
    <s v="Apr"/>
    <x v="3"/>
    <n v="2025"/>
    <x v="1"/>
    <x v="9"/>
    <x v="23"/>
    <s v="Online"/>
    <s v="Consumer"/>
    <x v="1"/>
    <x v="1"/>
    <s v="Laptop"/>
    <x v="2"/>
    <n v="2"/>
    <n v="53044"/>
    <n v="0.1"/>
    <x v="96"/>
    <n v="81157.320000000007"/>
    <n v="14321.88"/>
    <n v="0.15"/>
    <x v="1"/>
    <s v="Express"/>
    <n v="1"/>
    <x v="0"/>
  </r>
  <r>
    <s v="ORD20250098"/>
    <x v="75"/>
    <s v="Mar"/>
    <x v="0"/>
    <n v="2025"/>
    <x v="2"/>
    <x v="8"/>
    <x v="10"/>
    <s v="Online"/>
    <s v="Corporate"/>
    <x v="0"/>
    <x v="1"/>
    <s v="Mobile"/>
    <x v="12"/>
    <n v="1"/>
    <n v="25563"/>
    <n v="0.08"/>
    <x v="97"/>
    <n v="19284.73"/>
    <n v="4233.2299999999996"/>
    <n v="0.18"/>
    <x v="3"/>
    <s v="Express"/>
    <n v="1"/>
    <x v="3"/>
  </r>
  <r>
    <s v="ORD20250099"/>
    <x v="14"/>
    <s v="Feb"/>
    <x v="0"/>
    <n v="2025"/>
    <x v="3"/>
    <x v="5"/>
    <x v="5"/>
    <s v="Retail Store"/>
    <s v="Corporate"/>
    <x v="0"/>
    <x v="1"/>
    <s v="Laptop"/>
    <x v="2"/>
    <n v="3"/>
    <n v="60823"/>
    <n v="0"/>
    <x v="98"/>
    <n v="155098.65"/>
    <n v="27370.35"/>
    <n v="0.15"/>
    <x v="1"/>
    <s v="Express"/>
    <n v="2"/>
    <x v="1"/>
  </r>
  <r>
    <s v="ORD20250100"/>
    <x v="76"/>
    <s v="Oct"/>
    <x v="1"/>
    <n v="2025"/>
    <x v="1"/>
    <x v="6"/>
    <x v="11"/>
    <s v="Distributor"/>
    <s v="Corporate"/>
    <x v="4"/>
    <x v="1"/>
    <s v="Accessories"/>
    <x v="8"/>
    <n v="3"/>
    <n v="3003"/>
    <n v="0.11"/>
    <x v="99"/>
    <n v="5612.61"/>
    <n v="2405.4"/>
    <n v="0.3"/>
    <x v="1"/>
    <s v="Express"/>
    <n v="3"/>
    <x v="0"/>
  </r>
  <r>
    <s v="ORD20250101"/>
    <x v="77"/>
    <s v="May"/>
    <x v="3"/>
    <n v="2025"/>
    <x v="3"/>
    <x v="5"/>
    <x v="5"/>
    <s v="Online"/>
    <s v="Corporate"/>
    <x v="1"/>
    <x v="2"/>
    <s v="Chair"/>
    <x v="10"/>
    <n v="2"/>
    <n v="13170"/>
    <n v="0.09"/>
    <x v="100"/>
    <n v="17737.36"/>
    <n v="6232.04"/>
    <n v="0.26"/>
    <x v="2"/>
    <s v="Express"/>
    <n v="2"/>
    <x v="3"/>
  </r>
  <r>
    <s v="ORD20250102"/>
    <x v="78"/>
    <s v="Jan"/>
    <x v="0"/>
    <n v="2025"/>
    <x v="0"/>
    <x v="0"/>
    <x v="8"/>
    <s v="Distributor"/>
    <s v="Corporate"/>
    <x v="7"/>
    <x v="1"/>
    <s v="Laptop"/>
    <x v="17"/>
    <n v="6"/>
    <n v="55984"/>
    <n v="0.14000000000000001"/>
    <x v="101"/>
    <n v="242657.05"/>
    <n v="46220.39"/>
    <n v="0.16"/>
    <x v="3"/>
    <s v="Standard"/>
    <n v="4"/>
    <x v="0"/>
  </r>
  <r>
    <s v="ORD20250103"/>
    <x v="79"/>
    <s v="Feb"/>
    <x v="0"/>
    <n v="2025"/>
    <x v="1"/>
    <x v="9"/>
    <x v="24"/>
    <s v="Online"/>
    <s v="Consumer"/>
    <x v="7"/>
    <x v="2"/>
    <s v="Chair"/>
    <x v="7"/>
    <n v="3"/>
    <n v="7848"/>
    <n v="0.15"/>
    <x v="102"/>
    <n v="14408.93"/>
    <n v="5603.47"/>
    <n v="0.28000000000000003"/>
    <x v="0"/>
    <s v="Express"/>
    <n v="3"/>
    <x v="0"/>
  </r>
  <r>
    <s v="ORD20250104"/>
    <x v="80"/>
    <s v="Sep"/>
    <x v="2"/>
    <n v="2025"/>
    <x v="2"/>
    <x v="4"/>
    <x v="14"/>
    <s v="Distributor"/>
    <s v="Home Office"/>
    <x v="4"/>
    <x v="1"/>
    <s v="Mobile"/>
    <x v="12"/>
    <n v="3"/>
    <n v="29425"/>
    <n v="0.08"/>
    <x v="103"/>
    <n v="66594.66"/>
    <n v="14618.34"/>
    <n v="0.18"/>
    <x v="0"/>
    <s v="Same Day"/>
    <n v="0"/>
    <x v="0"/>
  </r>
  <r>
    <s v="ORD20250105"/>
    <x v="71"/>
    <s v="Aug"/>
    <x v="2"/>
    <n v="2025"/>
    <x v="2"/>
    <x v="8"/>
    <x v="10"/>
    <s v="Online"/>
    <s v="Home Office"/>
    <x v="7"/>
    <x v="1"/>
    <s v="Accessories"/>
    <x v="8"/>
    <n v="1"/>
    <n v="4003"/>
    <n v="0.15"/>
    <x v="104"/>
    <n v="2381.79"/>
    <n v="1020.76"/>
    <n v="0.3"/>
    <x v="4"/>
    <s v="Standard"/>
    <n v="4"/>
    <x v="1"/>
  </r>
  <r>
    <s v="ORD20250106"/>
    <x v="63"/>
    <s v="Nov"/>
    <x v="1"/>
    <n v="2025"/>
    <x v="0"/>
    <x v="0"/>
    <x v="0"/>
    <s v="Online"/>
    <s v="Consumer"/>
    <x v="0"/>
    <x v="1"/>
    <s v="Mobile"/>
    <x v="1"/>
    <n v="3"/>
    <n v="71049"/>
    <n v="0.13"/>
    <x v="105"/>
    <n v="163185.34"/>
    <n v="22252.55"/>
    <n v="0.12"/>
    <x v="0"/>
    <s v="Express"/>
    <n v="2"/>
    <x v="3"/>
  </r>
  <r>
    <s v="ORD20250107"/>
    <x v="81"/>
    <s v="May"/>
    <x v="3"/>
    <n v="2025"/>
    <x v="1"/>
    <x v="1"/>
    <x v="1"/>
    <s v="Retail Store"/>
    <s v="Home Office"/>
    <x v="8"/>
    <x v="3"/>
    <s v="Beverages"/>
    <x v="9"/>
    <n v="5"/>
    <n v="511"/>
    <n v="0.05"/>
    <x v="106"/>
    <n v="1626.26"/>
    <n v="800.99"/>
    <n v="0.33"/>
    <x v="0"/>
    <s v="Same Day"/>
    <n v="0"/>
    <x v="1"/>
  </r>
  <r>
    <s v="ORD20250108"/>
    <x v="82"/>
    <s v="Sep"/>
    <x v="2"/>
    <n v="2025"/>
    <x v="1"/>
    <x v="3"/>
    <x v="3"/>
    <s v="Retail Store"/>
    <s v="Consumer"/>
    <x v="0"/>
    <x v="1"/>
    <s v="Laptop"/>
    <x v="17"/>
    <n v="2"/>
    <n v="60537"/>
    <n v="0.02"/>
    <x v="107"/>
    <n v="99668.12"/>
    <n v="18984.400000000001"/>
    <n v="0.16"/>
    <x v="2"/>
    <s v="Standard"/>
    <n v="6"/>
    <x v="3"/>
  </r>
  <r>
    <s v="ORD20250109"/>
    <x v="14"/>
    <s v="Feb"/>
    <x v="0"/>
    <n v="2025"/>
    <x v="0"/>
    <x v="11"/>
    <x v="16"/>
    <s v="Online"/>
    <s v="Corporate"/>
    <x v="6"/>
    <x v="1"/>
    <s v="Laptop"/>
    <x v="17"/>
    <n v="2"/>
    <n v="53255"/>
    <n v="0.15"/>
    <x v="108"/>
    <n v="76048.14"/>
    <n v="14485.36"/>
    <n v="0.16"/>
    <x v="4"/>
    <s v="Standard"/>
    <n v="5"/>
    <x v="3"/>
  </r>
  <r>
    <s v="ORD20250110"/>
    <x v="83"/>
    <s v="Jul"/>
    <x v="2"/>
    <n v="2025"/>
    <x v="1"/>
    <x v="9"/>
    <x v="24"/>
    <s v="Online"/>
    <s v="Consumer"/>
    <x v="8"/>
    <x v="3"/>
    <s v="Beverages"/>
    <x v="9"/>
    <n v="12"/>
    <n v="540"/>
    <n v="0.05"/>
    <x v="109"/>
    <n v="4124.5200000000004"/>
    <n v="2031.48"/>
    <n v="0.33"/>
    <x v="3"/>
    <s v="Express"/>
    <n v="1"/>
    <x v="3"/>
  </r>
  <r>
    <s v="ORD20250111"/>
    <x v="1"/>
    <s v="Mar"/>
    <x v="0"/>
    <n v="2025"/>
    <x v="3"/>
    <x v="5"/>
    <x v="5"/>
    <s v="Retail Store"/>
    <s v="Home Office"/>
    <x v="7"/>
    <x v="1"/>
    <s v="Mobile"/>
    <x v="1"/>
    <n v="5"/>
    <n v="63629"/>
    <n v="0.06"/>
    <x v="110"/>
    <n v="263169.53999999998"/>
    <n v="35886.76"/>
    <n v="0.12"/>
    <x v="1"/>
    <s v="Standard"/>
    <n v="6"/>
    <x v="1"/>
  </r>
  <r>
    <s v="ORD20250112"/>
    <x v="84"/>
    <s v="Apr"/>
    <x v="3"/>
    <n v="2025"/>
    <x v="2"/>
    <x v="8"/>
    <x v="10"/>
    <s v="Distributor"/>
    <s v="Consumer"/>
    <x v="7"/>
    <x v="3"/>
    <s v="Snacks"/>
    <x v="16"/>
    <n v="13"/>
    <n v="57"/>
    <n v="0.14000000000000001"/>
    <x v="111"/>
    <n v="395.1"/>
    <n v="242.16"/>
    <n v="0.38"/>
    <x v="2"/>
    <s v="Standard"/>
    <n v="7"/>
    <x v="2"/>
  </r>
  <r>
    <s v="ORD20250113"/>
    <x v="85"/>
    <s v="Feb"/>
    <x v="0"/>
    <n v="2025"/>
    <x v="3"/>
    <x v="7"/>
    <x v="7"/>
    <s v="Retail Store"/>
    <s v="Consumer"/>
    <x v="1"/>
    <x v="0"/>
    <s v="Women"/>
    <x v="0"/>
    <n v="4"/>
    <n v="3080"/>
    <n v="0.09"/>
    <x v="112"/>
    <n v="6390.38"/>
    <n v="4820.82"/>
    <n v="0.43"/>
    <x v="3"/>
    <s v="Express"/>
    <n v="3"/>
    <x v="3"/>
  </r>
  <r>
    <s v="ORD20250114"/>
    <x v="86"/>
    <s v="Sep"/>
    <x v="2"/>
    <n v="2025"/>
    <x v="1"/>
    <x v="1"/>
    <x v="20"/>
    <s v="Online"/>
    <s v="Consumer"/>
    <x v="7"/>
    <x v="2"/>
    <s v="Chair"/>
    <x v="7"/>
    <n v="3"/>
    <n v="5588"/>
    <n v="0.08"/>
    <x v="113"/>
    <n v="11104.47"/>
    <n v="4318.41"/>
    <n v="0.28000000000000003"/>
    <x v="1"/>
    <s v="Standard"/>
    <n v="3"/>
    <x v="0"/>
  </r>
  <r>
    <s v="ORD20250115"/>
    <x v="87"/>
    <s v="Jul"/>
    <x v="2"/>
    <n v="2025"/>
    <x v="1"/>
    <x v="1"/>
    <x v="20"/>
    <s v="Distributor"/>
    <s v="Consumer"/>
    <x v="0"/>
    <x v="3"/>
    <s v="Snacks"/>
    <x v="5"/>
    <n v="24"/>
    <n v="82"/>
    <n v="0.14000000000000001"/>
    <x v="114"/>
    <n v="1083.19"/>
    <n v="609.29"/>
    <n v="0.36"/>
    <x v="2"/>
    <s v="Express"/>
    <n v="3"/>
    <x v="0"/>
  </r>
  <r>
    <s v="ORD20250116"/>
    <x v="88"/>
    <s v="Nov"/>
    <x v="1"/>
    <n v="2025"/>
    <x v="1"/>
    <x v="9"/>
    <x v="12"/>
    <s v="Online"/>
    <s v="Corporate"/>
    <x v="8"/>
    <x v="1"/>
    <s v="Mobile"/>
    <x v="12"/>
    <n v="2"/>
    <n v="22491"/>
    <n v="0.15"/>
    <x v="115"/>
    <n v="31352.45"/>
    <n v="6882.25"/>
    <n v="0.18"/>
    <x v="2"/>
    <s v="Standard"/>
    <n v="3"/>
    <x v="0"/>
  </r>
  <r>
    <s v="ORD20250117"/>
    <x v="89"/>
    <s v="Apr"/>
    <x v="3"/>
    <n v="2025"/>
    <x v="0"/>
    <x v="2"/>
    <x v="13"/>
    <s v="Retail Store"/>
    <s v="Home Office"/>
    <x v="0"/>
    <x v="1"/>
    <s v="Laptop"/>
    <x v="17"/>
    <n v="3"/>
    <n v="49259"/>
    <n v="0.01"/>
    <x v="116"/>
    <n v="122891.35"/>
    <n v="23407.88"/>
    <n v="0.16"/>
    <x v="3"/>
    <s v="Express"/>
    <n v="1"/>
    <x v="1"/>
  </r>
  <r>
    <s v="ORD20250118"/>
    <x v="90"/>
    <s v="Apr"/>
    <x v="3"/>
    <n v="2025"/>
    <x v="1"/>
    <x v="1"/>
    <x v="1"/>
    <s v="Online"/>
    <s v="Consumer"/>
    <x v="7"/>
    <x v="1"/>
    <s v="Accessories"/>
    <x v="15"/>
    <n v="1"/>
    <n v="1357"/>
    <n v="0.11"/>
    <x v="117"/>
    <n v="821.26"/>
    <n v="386.47"/>
    <n v="0.32"/>
    <x v="1"/>
    <s v="Standard"/>
    <n v="3"/>
    <x v="0"/>
  </r>
  <r>
    <s v="ORD20250119"/>
    <x v="2"/>
    <s v="Dec"/>
    <x v="1"/>
    <n v="2025"/>
    <x v="0"/>
    <x v="2"/>
    <x v="2"/>
    <s v="Retail Store"/>
    <s v="Corporate"/>
    <x v="5"/>
    <x v="1"/>
    <s v="Laptop"/>
    <x v="17"/>
    <n v="2"/>
    <n v="48759"/>
    <n v="0.08"/>
    <x v="118"/>
    <n v="75361.91"/>
    <n v="14354.65"/>
    <n v="0.16"/>
    <x v="4"/>
    <s v="Same Day"/>
    <n v="0"/>
    <x v="1"/>
  </r>
  <r>
    <s v="ORD20250120"/>
    <x v="60"/>
    <s v="Aug"/>
    <x v="2"/>
    <n v="2025"/>
    <x v="3"/>
    <x v="7"/>
    <x v="17"/>
    <s v="Online"/>
    <s v="Consumer"/>
    <x v="6"/>
    <x v="1"/>
    <s v="Accessories"/>
    <x v="15"/>
    <n v="3"/>
    <n v="979"/>
    <n v="0.13"/>
    <x v="119"/>
    <n v="1737.53"/>
    <n v="817.66"/>
    <n v="0.32"/>
    <x v="0"/>
    <s v="Standard"/>
    <n v="6"/>
    <x v="0"/>
  </r>
  <r>
    <s v="ORD20250121"/>
    <x v="91"/>
    <s v="Aug"/>
    <x v="2"/>
    <n v="2025"/>
    <x v="0"/>
    <x v="11"/>
    <x v="16"/>
    <s v="Online"/>
    <s v="Corporate"/>
    <x v="1"/>
    <x v="2"/>
    <s v="Chair"/>
    <x v="7"/>
    <n v="3"/>
    <n v="7395"/>
    <n v="0.11"/>
    <x v="120"/>
    <n v="14216.15"/>
    <n v="5528.5"/>
    <n v="0.28000000000000003"/>
    <x v="4"/>
    <s v="Express"/>
    <n v="1"/>
    <x v="0"/>
  </r>
  <r>
    <s v="ORD20250122"/>
    <x v="92"/>
    <s v="Jun"/>
    <x v="3"/>
    <n v="2025"/>
    <x v="1"/>
    <x v="1"/>
    <x v="20"/>
    <s v="Online"/>
    <s v="Corporate"/>
    <x v="9"/>
    <x v="1"/>
    <s v="Mobile"/>
    <x v="1"/>
    <n v="6"/>
    <n v="63367"/>
    <n v="0.06"/>
    <x v="121"/>
    <n v="314503.09000000003"/>
    <n v="42886.79"/>
    <n v="0.12"/>
    <x v="3"/>
    <s v="Express"/>
    <n v="1"/>
    <x v="0"/>
  </r>
  <r>
    <s v="ORD20250123"/>
    <x v="93"/>
    <s v="Mar"/>
    <x v="0"/>
    <n v="2025"/>
    <x v="2"/>
    <x v="10"/>
    <x v="15"/>
    <s v="Distributor"/>
    <s v="Consumer"/>
    <x v="8"/>
    <x v="1"/>
    <s v="Laptop"/>
    <x v="17"/>
    <n v="5"/>
    <n v="55301"/>
    <n v="0.11"/>
    <x v="122"/>
    <n v="206715.14"/>
    <n v="39374.31"/>
    <n v="0.16"/>
    <x v="4"/>
    <s v="Express"/>
    <n v="1"/>
    <x v="3"/>
  </r>
  <r>
    <s v="ORD20250124"/>
    <x v="94"/>
    <s v="Oct"/>
    <x v="1"/>
    <n v="2025"/>
    <x v="3"/>
    <x v="12"/>
    <x v="19"/>
    <s v="Retail Store"/>
    <s v="Corporate"/>
    <x v="4"/>
    <x v="0"/>
    <s v="Men"/>
    <x v="4"/>
    <n v="5"/>
    <n v="2051"/>
    <n v="0.06"/>
    <x v="123"/>
    <n v="5591.03"/>
    <n v="4048.67"/>
    <n v="0.42"/>
    <x v="1"/>
    <s v="Express"/>
    <n v="2"/>
    <x v="0"/>
  </r>
  <r>
    <s v="ORD20250125"/>
    <x v="95"/>
    <s v="Mar"/>
    <x v="0"/>
    <n v="2025"/>
    <x v="3"/>
    <x v="13"/>
    <x v="21"/>
    <s v="Retail Store"/>
    <s v="Corporate"/>
    <x v="0"/>
    <x v="2"/>
    <s v="Chair"/>
    <x v="10"/>
    <n v="2"/>
    <n v="15412"/>
    <n v="0.04"/>
    <x v="124"/>
    <n v="21897.37"/>
    <n v="7693.67"/>
    <n v="0.26"/>
    <x v="1"/>
    <s v="Express"/>
    <n v="3"/>
    <x v="1"/>
  </r>
  <r>
    <s v="ORD20250126"/>
    <x v="96"/>
    <s v="Dec"/>
    <x v="1"/>
    <n v="2025"/>
    <x v="1"/>
    <x v="1"/>
    <x v="1"/>
    <s v="Online"/>
    <s v="Home Office"/>
    <x v="1"/>
    <x v="2"/>
    <s v="Table"/>
    <x v="11"/>
    <n v="2"/>
    <n v="21097"/>
    <n v="0.06"/>
    <x v="125"/>
    <n v="30143.39"/>
    <n v="9518.9699999999993"/>
    <n v="0.24"/>
    <x v="4"/>
    <s v="Express"/>
    <n v="1"/>
    <x v="1"/>
  </r>
  <r>
    <s v="ORD20250127"/>
    <x v="97"/>
    <s v="Jun"/>
    <x v="3"/>
    <n v="2025"/>
    <x v="0"/>
    <x v="11"/>
    <x v="16"/>
    <s v="Retail Store"/>
    <s v="Home Office"/>
    <x v="8"/>
    <x v="1"/>
    <s v="Laptop"/>
    <x v="2"/>
    <n v="6"/>
    <n v="61999"/>
    <n v="0.01"/>
    <x v="126"/>
    <n v="313032.95"/>
    <n v="55241.11"/>
    <n v="0.15"/>
    <x v="1"/>
    <s v="Standard"/>
    <n v="4"/>
    <x v="0"/>
  </r>
  <r>
    <s v="ORD20250128"/>
    <x v="98"/>
    <s v="Dec"/>
    <x v="1"/>
    <n v="2025"/>
    <x v="3"/>
    <x v="12"/>
    <x v="19"/>
    <s v="Online"/>
    <s v="Home Office"/>
    <x v="7"/>
    <x v="2"/>
    <s v="Table"/>
    <x v="11"/>
    <n v="2"/>
    <n v="19299"/>
    <n v="0.11"/>
    <x v="127"/>
    <n v="26107.69"/>
    <n v="8244.5300000000007"/>
    <n v="0.24"/>
    <x v="3"/>
    <s v="Same Day"/>
    <n v="0"/>
    <x v="0"/>
  </r>
  <r>
    <s v="ORD20250129"/>
    <x v="99"/>
    <s v="Sep"/>
    <x v="2"/>
    <n v="2025"/>
    <x v="3"/>
    <x v="13"/>
    <x v="21"/>
    <s v="Retail Store"/>
    <s v="Corporate"/>
    <x v="8"/>
    <x v="3"/>
    <s v="Snacks"/>
    <x v="5"/>
    <n v="30"/>
    <n v="79"/>
    <n v="0.1"/>
    <x v="128"/>
    <n v="1365.12"/>
    <n v="767.88"/>
    <n v="0.36"/>
    <x v="1"/>
    <s v="Standard"/>
    <n v="7"/>
    <x v="0"/>
  </r>
  <r>
    <s v="ORD20250130"/>
    <x v="100"/>
    <s v="Sep"/>
    <x v="2"/>
    <n v="2025"/>
    <x v="3"/>
    <x v="5"/>
    <x v="5"/>
    <s v="Distributor"/>
    <s v="Consumer"/>
    <x v="2"/>
    <x v="2"/>
    <s v="Table"/>
    <x v="3"/>
    <n v="1"/>
    <n v="7802"/>
    <n v="0.08"/>
    <x v="129"/>
    <n v="5096.2700000000004"/>
    <n v="2081.5700000000002"/>
    <n v="0.28999999999999998"/>
    <x v="4"/>
    <s v="Same Day"/>
    <n v="0"/>
    <x v="1"/>
  </r>
  <r>
    <s v="ORD20250131"/>
    <x v="101"/>
    <s v="Feb"/>
    <x v="0"/>
    <n v="2025"/>
    <x v="0"/>
    <x v="0"/>
    <x v="8"/>
    <s v="Distributor"/>
    <s v="Home Office"/>
    <x v="7"/>
    <x v="3"/>
    <s v="Beverages"/>
    <x v="9"/>
    <n v="7"/>
    <n v="324"/>
    <n v="0.11"/>
    <x v="130"/>
    <n v="1352.41"/>
    <n v="666.11"/>
    <n v="0.33"/>
    <x v="2"/>
    <s v="Same Day"/>
    <n v="0"/>
    <x v="2"/>
  </r>
  <r>
    <s v="ORD20250132"/>
    <x v="102"/>
    <s v="Aug"/>
    <x v="2"/>
    <n v="2025"/>
    <x v="2"/>
    <x v="4"/>
    <x v="4"/>
    <s v="Distributor"/>
    <s v="Consumer"/>
    <x v="4"/>
    <x v="0"/>
    <s v="Men"/>
    <x v="13"/>
    <n v="8"/>
    <n v="2073"/>
    <n v="0.13"/>
    <x v="131"/>
    <n v="8656.85"/>
    <n v="5771.23"/>
    <n v="0.4"/>
    <x v="2"/>
    <s v="Same Day"/>
    <n v="0"/>
    <x v="2"/>
  </r>
  <r>
    <s v="ORD20250133"/>
    <x v="103"/>
    <s v="Nov"/>
    <x v="1"/>
    <n v="2025"/>
    <x v="1"/>
    <x v="1"/>
    <x v="1"/>
    <s v="Retail Store"/>
    <s v="Corporate"/>
    <x v="4"/>
    <x v="3"/>
    <s v="Beverages"/>
    <x v="9"/>
    <n v="24"/>
    <n v="433"/>
    <n v="0.08"/>
    <x v="132"/>
    <n v="6405.63"/>
    <n v="3155.01"/>
    <n v="0.33"/>
    <x v="0"/>
    <s v="Same Day"/>
    <n v="0"/>
    <x v="1"/>
  </r>
  <r>
    <s v="ORD20250134"/>
    <x v="41"/>
    <s v="Mar"/>
    <x v="0"/>
    <n v="2025"/>
    <x v="1"/>
    <x v="6"/>
    <x v="6"/>
    <s v="Retail Store"/>
    <s v="Home Office"/>
    <x v="2"/>
    <x v="1"/>
    <s v="Laptop"/>
    <x v="2"/>
    <n v="3"/>
    <n v="53150"/>
    <n v="0.02"/>
    <x v="133"/>
    <n v="132821.85"/>
    <n v="23439.15"/>
    <n v="0.15"/>
    <x v="1"/>
    <s v="Same Day"/>
    <n v="0"/>
    <x v="1"/>
  </r>
  <r>
    <s v="ORD20250135"/>
    <x v="83"/>
    <s v="Jul"/>
    <x v="2"/>
    <n v="2025"/>
    <x v="3"/>
    <x v="5"/>
    <x v="5"/>
    <s v="Distributor"/>
    <s v="Consumer"/>
    <x v="4"/>
    <x v="1"/>
    <s v="Laptop"/>
    <x v="17"/>
    <n v="6"/>
    <n v="55461"/>
    <n v="0.17"/>
    <x v="134"/>
    <n v="232004.46"/>
    <n v="44191.32"/>
    <n v="0.16"/>
    <x v="2"/>
    <s v="Express"/>
    <n v="2"/>
    <x v="3"/>
  </r>
  <r>
    <s v="ORD20250136"/>
    <x v="104"/>
    <s v="Nov"/>
    <x v="1"/>
    <n v="2025"/>
    <x v="3"/>
    <x v="13"/>
    <x v="21"/>
    <s v="Distributor"/>
    <s v="Consumer"/>
    <x v="3"/>
    <x v="1"/>
    <s v="Laptop"/>
    <x v="17"/>
    <n v="4"/>
    <n v="56195"/>
    <n v="0.1"/>
    <x v="135"/>
    <n v="169933.68"/>
    <n v="32368.32"/>
    <n v="0.16"/>
    <x v="2"/>
    <s v="Standard"/>
    <n v="3"/>
    <x v="2"/>
  </r>
  <r>
    <s v="ORD20250137"/>
    <x v="105"/>
    <s v="Sep"/>
    <x v="2"/>
    <n v="2025"/>
    <x v="0"/>
    <x v="11"/>
    <x v="16"/>
    <s v="Retail Store"/>
    <s v="Corporate"/>
    <x v="3"/>
    <x v="1"/>
    <s v="Accessories"/>
    <x v="15"/>
    <n v="3"/>
    <n v="1483"/>
    <n v="0.04"/>
    <x v="136"/>
    <n v="2904.31"/>
    <n v="1366.73"/>
    <n v="0.32"/>
    <x v="3"/>
    <s v="Standard"/>
    <n v="7"/>
    <x v="1"/>
  </r>
  <r>
    <s v="ORD20250138"/>
    <x v="106"/>
    <s v="May"/>
    <x v="3"/>
    <n v="2025"/>
    <x v="2"/>
    <x v="10"/>
    <x v="15"/>
    <s v="Retail Store"/>
    <s v="Corporate"/>
    <x v="6"/>
    <x v="2"/>
    <s v="Table"/>
    <x v="3"/>
    <n v="3"/>
    <n v="5335"/>
    <n v="0.09"/>
    <x v="137"/>
    <n v="10340.83"/>
    <n v="4223.72"/>
    <n v="0.28999999999999998"/>
    <x v="0"/>
    <s v="Standard"/>
    <n v="3"/>
    <x v="0"/>
  </r>
  <r>
    <s v="ORD20250139"/>
    <x v="43"/>
    <s v="Jul"/>
    <x v="2"/>
    <n v="2025"/>
    <x v="2"/>
    <x v="8"/>
    <x v="10"/>
    <s v="Retail Store"/>
    <s v="Home Office"/>
    <x v="3"/>
    <x v="1"/>
    <s v="Mobile"/>
    <x v="1"/>
    <n v="4"/>
    <n v="64081"/>
    <n v="7.0000000000000007E-2"/>
    <x v="138"/>
    <n v="209775.56"/>
    <n v="28605.759999999998"/>
    <n v="0.12"/>
    <x v="3"/>
    <s v="Standard"/>
    <n v="7"/>
    <x v="0"/>
  </r>
  <r>
    <s v="ORD20250140"/>
    <x v="33"/>
    <s v="Jan"/>
    <x v="0"/>
    <n v="2025"/>
    <x v="3"/>
    <x v="7"/>
    <x v="17"/>
    <s v="Distributor"/>
    <s v="Corporate"/>
    <x v="4"/>
    <x v="3"/>
    <s v="Snacks"/>
    <x v="5"/>
    <n v="21"/>
    <n v="103"/>
    <n v="0.14000000000000001"/>
    <x v="139"/>
    <n v="1190.52"/>
    <n v="669.66"/>
    <n v="0.36"/>
    <x v="1"/>
    <s v="Same Day"/>
    <n v="0"/>
    <x v="0"/>
  </r>
  <r>
    <s v="ORD20250141"/>
    <x v="27"/>
    <s v="May"/>
    <x v="3"/>
    <n v="2025"/>
    <x v="0"/>
    <x v="2"/>
    <x v="13"/>
    <s v="Online"/>
    <s v="Corporate"/>
    <x v="8"/>
    <x v="0"/>
    <s v="Men"/>
    <x v="13"/>
    <n v="2"/>
    <n v="1421"/>
    <n v="0.1"/>
    <x v="140"/>
    <n v="1534.68"/>
    <n v="1023.12"/>
    <n v="0.4"/>
    <x v="3"/>
    <s v="Same Day"/>
    <n v="0"/>
    <x v="2"/>
  </r>
  <r>
    <s v="ORD20250142"/>
    <x v="82"/>
    <s v="Sep"/>
    <x v="2"/>
    <n v="2025"/>
    <x v="1"/>
    <x v="9"/>
    <x v="23"/>
    <s v="Online"/>
    <s v="Corporate"/>
    <x v="7"/>
    <x v="3"/>
    <s v="Snacks"/>
    <x v="16"/>
    <n v="26"/>
    <n v="120"/>
    <n v="0.1"/>
    <x v="141"/>
    <n v="1740.96"/>
    <n v="1067.04"/>
    <n v="0.38"/>
    <x v="1"/>
    <s v="Same Day"/>
    <n v="0"/>
    <x v="0"/>
  </r>
  <r>
    <s v="ORD20250143"/>
    <x v="107"/>
    <s v="Oct"/>
    <x v="1"/>
    <n v="2025"/>
    <x v="3"/>
    <x v="12"/>
    <x v="25"/>
    <s v="Distributor"/>
    <s v="Home Office"/>
    <x v="5"/>
    <x v="3"/>
    <s v="Snacks"/>
    <x v="5"/>
    <n v="13"/>
    <n v="156"/>
    <n v="0.12"/>
    <x v="142"/>
    <n v="1142.17"/>
    <n v="642.47"/>
    <n v="0.36"/>
    <x v="3"/>
    <s v="Same Day"/>
    <n v="0"/>
    <x v="0"/>
  </r>
  <r>
    <s v="ORD20250144"/>
    <x v="4"/>
    <s v="Feb"/>
    <x v="0"/>
    <n v="2025"/>
    <x v="3"/>
    <x v="7"/>
    <x v="7"/>
    <s v="Retail Store"/>
    <s v="Home Office"/>
    <x v="0"/>
    <x v="1"/>
    <s v="Mobile"/>
    <x v="12"/>
    <n v="2"/>
    <n v="24065"/>
    <n v="0.05"/>
    <x v="143"/>
    <n v="37493.269999999997"/>
    <n v="8230.23"/>
    <n v="0.18"/>
    <x v="0"/>
    <s v="Express"/>
    <n v="1"/>
    <x v="1"/>
  </r>
  <r>
    <s v="ORD20250145"/>
    <x v="108"/>
    <s v="Oct"/>
    <x v="1"/>
    <n v="2025"/>
    <x v="1"/>
    <x v="1"/>
    <x v="1"/>
    <s v="Retail Store"/>
    <s v="Home Office"/>
    <x v="0"/>
    <x v="1"/>
    <s v="Laptop"/>
    <x v="17"/>
    <n v="6"/>
    <n v="59510"/>
    <n v="0"/>
    <x v="144"/>
    <n v="299930.40000000002"/>
    <n v="57129.599999999999"/>
    <n v="0.16"/>
    <x v="4"/>
    <s v="Express"/>
    <n v="2"/>
    <x v="1"/>
  </r>
  <r>
    <s v="ORD20250146"/>
    <x v="65"/>
    <s v="Oct"/>
    <x v="1"/>
    <n v="2025"/>
    <x v="2"/>
    <x v="8"/>
    <x v="10"/>
    <s v="Retail Store"/>
    <s v="Corporate"/>
    <x v="9"/>
    <x v="1"/>
    <s v="Accessories"/>
    <x v="15"/>
    <n v="2"/>
    <n v="956"/>
    <n v="0.08"/>
    <x v="145"/>
    <n v="1196.1500000000001"/>
    <n v="562.89"/>
    <n v="0.32"/>
    <x v="3"/>
    <s v="Same Day"/>
    <n v="0"/>
    <x v="2"/>
  </r>
  <r>
    <s v="ORD20250147"/>
    <x v="109"/>
    <s v="May"/>
    <x v="3"/>
    <n v="2025"/>
    <x v="3"/>
    <x v="12"/>
    <x v="19"/>
    <s v="Distributor"/>
    <s v="Consumer"/>
    <x v="2"/>
    <x v="3"/>
    <s v="Beverages"/>
    <x v="9"/>
    <n v="8"/>
    <n v="389"/>
    <n v="0.11"/>
    <x v="146"/>
    <n v="1855.69"/>
    <n v="913.99"/>
    <n v="0.33"/>
    <x v="4"/>
    <s v="Standard"/>
    <n v="7"/>
    <x v="0"/>
  </r>
  <r>
    <s v="ORD20250148"/>
    <x v="73"/>
    <s v="Sep"/>
    <x v="2"/>
    <n v="2025"/>
    <x v="0"/>
    <x v="11"/>
    <x v="16"/>
    <s v="Online"/>
    <s v="Home Office"/>
    <x v="3"/>
    <x v="2"/>
    <s v="Chair"/>
    <x v="7"/>
    <n v="1"/>
    <n v="5850"/>
    <n v="0.12"/>
    <x v="147"/>
    <n v="3706.56"/>
    <n v="1441.44"/>
    <n v="0.28000000000000003"/>
    <x v="0"/>
    <s v="Same Day"/>
    <n v="0"/>
    <x v="0"/>
  </r>
  <r>
    <s v="ORD20250149"/>
    <x v="110"/>
    <s v="Oct"/>
    <x v="1"/>
    <n v="2025"/>
    <x v="2"/>
    <x v="8"/>
    <x v="10"/>
    <s v="Online"/>
    <s v="Consumer"/>
    <x v="8"/>
    <x v="2"/>
    <s v="Table"/>
    <x v="3"/>
    <n v="3"/>
    <n v="5921"/>
    <n v="0.13"/>
    <x v="148"/>
    <n v="10972.21"/>
    <n v="4481.6000000000004"/>
    <n v="0.28999999999999998"/>
    <x v="0"/>
    <s v="Standard"/>
    <n v="3"/>
    <x v="0"/>
  </r>
  <r>
    <s v="ORD20250150"/>
    <x v="111"/>
    <s v="Mar"/>
    <x v="0"/>
    <n v="2025"/>
    <x v="2"/>
    <x v="4"/>
    <x v="14"/>
    <s v="Distributor"/>
    <s v="Corporate"/>
    <x v="2"/>
    <x v="1"/>
    <s v="Mobile"/>
    <x v="12"/>
    <n v="4"/>
    <n v="23000"/>
    <n v="0.08"/>
    <x v="149"/>
    <n v="69404.800000000003"/>
    <n v="15235.2"/>
    <n v="0.18"/>
    <x v="1"/>
    <s v="Express"/>
    <n v="3"/>
    <x v="1"/>
  </r>
  <r>
    <s v="ORD20250151"/>
    <x v="96"/>
    <s v="Dec"/>
    <x v="1"/>
    <n v="2025"/>
    <x v="1"/>
    <x v="6"/>
    <x v="11"/>
    <s v="Distributor"/>
    <s v="Home Office"/>
    <x v="4"/>
    <x v="0"/>
    <s v="Men"/>
    <x v="4"/>
    <n v="9"/>
    <n v="1978"/>
    <n v="0.14000000000000001"/>
    <x v="150"/>
    <n v="8879.64"/>
    <n v="6430.08"/>
    <n v="0.42"/>
    <x v="0"/>
    <s v="Standard"/>
    <n v="3"/>
    <x v="1"/>
  </r>
  <r>
    <s v="ORD20250152"/>
    <x v="112"/>
    <s v="Dec"/>
    <x v="1"/>
    <n v="2025"/>
    <x v="1"/>
    <x v="1"/>
    <x v="1"/>
    <s v="Distributor"/>
    <s v="Corporate"/>
    <x v="9"/>
    <x v="1"/>
    <s v="Mobile"/>
    <x v="1"/>
    <n v="6"/>
    <n v="70732"/>
    <n v="0.12"/>
    <x v="151"/>
    <n v="328649.15999999997"/>
    <n v="44815.8"/>
    <n v="0.12"/>
    <x v="0"/>
    <s v="Same Day"/>
    <n v="0"/>
    <x v="1"/>
  </r>
  <r>
    <s v="ORD20250153"/>
    <x v="113"/>
    <s v="Feb"/>
    <x v="0"/>
    <n v="2025"/>
    <x v="0"/>
    <x v="11"/>
    <x v="16"/>
    <s v="Online"/>
    <s v="Home Office"/>
    <x v="0"/>
    <x v="3"/>
    <s v="Beverages"/>
    <x v="9"/>
    <n v="17"/>
    <n v="397"/>
    <n v="0.15"/>
    <x v="152"/>
    <n v="3843.56"/>
    <n v="1893.09"/>
    <n v="0.33"/>
    <x v="1"/>
    <s v="Standard"/>
    <n v="5"/>
    <x v="3"/>
  </r>
  <r>
    <s v="ORD20250154"/>
    <x v="76"/>
    <s v="Oct"/>
    <x v="1"/>
    <n v="2025"/>
    <x v="3"/>
    <x v="7"/>
    <x v="7"/>
    <s v="Distributor"/>
    <s v="Corporate"/>
    <x v="7"/>
    <x v="0"/>
    <s v="Men"/>
    <x v="4"/>
    <n v="4"/>
    <n v="2107"/>
    <n v="0.13"/>
    <x v="153"/>
    <n v="4252.7700000000004"/>
    <n v="3079.59"/>
    <n v="0.42"/>
    <x v="2"/>
    <s v="Standard"/>
    <n v="6"/>
    <x v="0"/>
  </r>
  <r>
    <s v="ORD20250155"/>
    <x v="114"/>
    <s v="Apr"/>
    <x v="3"/>
    <n v="2025"/>
    <x v="3"/>
    <x v="13"/>
    <x v="22"/>
    <s v="Retail Store"/>
    <s v="Home Office"/>
    <x v="8"/>
    <x v="0"/>
    <s v="Women"/>
    <x v="0"/>
    <n v="11"/>
    <n v="3606"/>
    <n v="0.06"/>
    <x v="154"/>
    <n v="21253.040000000001"/>
    <n v="16033"/>
    <n v="0.43"/>
    <x v="2"/>
    <s v="Standard"/>
    <n v="6"/>
    <x v="1"/>
  </r>
  <r>
    <s v="ORD20250156"/>
    <x v="115"/>
    <s v="Nov"/>
    <x v="1"/>
    <n v="2025"/>
    <x v="0"/>
    <x v="0"/>
    <x v="0"/>
    <s v="Retail Store"/>
    <s v="Corporate"/>
    <x v="3"/>
    <x v="2"/>
    <s v="Table"/>
    <x v="3"/>
    <n v="2"/>
    <n v="7461"/>
    <n v="0.04"/>
    <x v="155"/>
    <n v="10170.84"/>
    <n v="4154.28"/>
    <n v="0.28999999999999998"/>
    <x v="2"/>
    <s v="Express"/>
    <n v="2"/>
    <x v="1"/>
  </r>
  <r>
    <s v="ORD20250157"/>
    <x v="1"/>
    <s v="Mar"/>
    <x v="0"/>
    <n v="2025"/>
    <x v="1"/>
    <x v="1"/>
    <x v="20"/>
    <s v="Distributor"/>
    <s v="Consumer"/>
    <x v="1"/>
    <x v="2"/>
    <s v="Chair"/>
    <x v="7"/>
    <n v="2"/>
    <n v="6131"/>
    <n v="0.1"/>
    <x v="156"/>
    <n v="7945.78"/>
    <n v="3090.02"/>
    <n v="0.28000000000000003"/>
    <x v="0"/>
    <s v="Standard"/>
    <n v="4"/>
    <x v="0"/>
  </r>
  <r>
    <s v="ORD20250158"/>
    <x v="116"/>
    <s v="Jun"/>
    <x v="3"/>
    <n v="2025"/>
    <x v="0"/>
    <x v="2"/>
    <x v="13"/>
    <s v="Retail Store"/>
    <s v="Corporate"/>
    <x v="1"/>
    <x v="1"/>
    <s v="Mobile"/>
    <x v="12"/>
    <n v="1"/>
    <n v="27545"/>
    <n v="0.03"/>
    <x v="157"/>
    <n v="21909.29"/>
    <n v="4809.3599999999997"/>
    <n v="0.18"/>
    <x v="3"/>
    <s v="Express"/>
    <n v="1"/>
    <x v="3"/>
  </r>
  <r>
    <s v="ORD20250159"/>
    <x v="117"/>
    <s v="Feb"/>
    <x v="0"/>
    <n v="2025"/>
    <x v="0"/>
    <x v="11"/>
    <x v="16"/>
    <s v="Distributor"/>
    <s v="Corporate"/>
    <x v="6"/>
    <x v="1"/>
    <s v="Accessories"/>
    <x v="8"/>
    <n v="5"/>
    <n v="4179"/>
    <n v="0.1"/>
    <x v="158"/>
    <n v="13163.85"/>
    <n v="5641.65"/>
    <n v="0.3"/>
    <x v="4"/>
    <s v="Standard"/>
    <n v="5"/>
    <x v="2"/>
  </r>
  <r>
    <s v="ORD20250160"/>
    <x v="118"/>
    <s v="Nov"/>
    <x v="1"/>
    <n v="2025"/>
    <x v="1"/>
    <x v="6"/>
    <x v="11"/>
    <s v="Online"/>
    <s v="Home Office"/>
    <x v="2"/>
    <x v="2"/>
    <s v="Table"/>
    <x v="3"/>
    <n v="3"/>
    <n v="6366"/>
    <n v="0.15"/>
    <x v="159"/>
    <n v="11525.64"/>
    <n v="4707.66"/>
    <n v="0.28999999999999998"/>
    <x v="1"/>
    <s v="Same Day"/>
    <n v="0"/>
    <x v="1"/>
  </r>
  <r>
    <s v="ORD20250161"/>
    <x v="119"/>
    <s v="Apr"/>
    <x v="3"/>
    <n v="2025"/>
    <x v="3"/>
    <x v="13"/>
    <x v="21"/>
    <s v="Online"/>
    <s v="Corporate"/>
    <x v="2"/>
    <x v="1"/>
    <s v="Mobile"/>
    <x v="12"/>
    <n v="2"/>
    <n v="23245"/>
    <n v="0.11"/>
    <x v="160"/>
    <n v="33928.400000000001"/>
    <n v="7447.7"/>
    <n v="0.18"/>
    <x v="1"/>
    <s v="Express"/>
    <n v="3"/>
    <x v="0"/>
  </r>
  <r>
    <s v="ORD20250162"/>
    <x v="120"/>
    <s v="Aug"/>
    <x v="2"/>
    <n v="2025"/>
    <x v="0"/>
    <x v="11"/>
    <x v="16"/>
    <s v="Distributor"/>
    <s v="Consumer"/>
    <x v="7"/>
    <x v="3"/>
    <s v="Beverages"/>
    <x v="9"/>
    <n v="6"/>
    <n v="277"/>
    <n v="0.18"/>
    <x v="161"/>
    <n v="913.1"/>
    <n v="449.74"/>
    <n v="0.33"/>
    <x v="4"/>
    <s v="Express"/>
    <n v="3"/>
    <x v="0"/>
  </r>
  <r>
    <s v="ORD20250163"/>
    <x v="93"/>
    <s v="Mar"/>
    <x v="0"/>
    <n v="2025"/>
    <x v="1"/>
    <x v="1"/>
    <x v="1"/>
    <s v="Distributor"/>
    <s v="Corporate"/>
    <x v="2"/>
    <x v="2"/>
    <s v="Chair"/>
    <x v="10"/>
    <n v="3"/>
    <n v="10436"/>
    <n v="0.16"/>
    <x v="162"/>
    <n v="19461.05"/>
    <n v="6837.67"/>
    <n v="0.26"/>
    <x v="0"/>
    <s v="Standard"/>
    <n v="7"/>
    <x v="2"/>
  </r>
  <r>
    <s v="ORD20250164"/>
    <x v="121"/>
    <s v="May"/>
    <x v="3"/>
    <n v="2025"/>
    <x v="0"/>
    <x v="11"/>
    <x v="16"/>
    <s v="Retail Store"/>
    <s v="Home Office"/>
    <x v="2"/>
    <x v="0"/>
    <s v="Men"/>
    <x v="13"/>
    <n v="11"/>
    <n v="1661"/>
    <n v="0.02"/>
    <x v="163"/>
    <n v="10743.35"/>
    <n v="7162.23"/>
    <n v="0.4"/>
    <x v="4"/>
    <s v="Standard"/>
    <n v="4"/>
    <x v="3"/>
  </r>
  <r>
    <s v="ORD20250165"/>
    <x v="122"/>
    <s v="Jul"/>
    <x v="2"/>
    <n v="2025"/>
    <x v="0"/>
    <x v="11"/>
    <x v="16"/>
    <s v="Distributor"/>
    <s v="Consumer"/>
    <x v="0"/>
    <x v="2"/>
    <s v="Chair"/>
    <x v="7"/>
    <n v="2"/>
    <n v="5469"/>
    <n v="0.14000000000000001"/>
    <x v="164"/>
    <n v="6772.81"/>
    <n v="2633.87"/>
    <n v="0.28000000000000003"/>
    <x v="4"/>
    <s v="Express"/>
    <n v="1"/>
    <x v="2"/>
  </r>
  <r>
    <s v="ORD20250166"/>
    <x v="75"/>
    <s v="Mar"/>
    <x v="0"/>
    <n v="2025"/>
    <x v="1"/>
    <x v="1"/>
    <x v="1"/>
    <s v="Online"/>
    <s v="Corporate"/>
    <x v="4"/>
    <x v="2"/>
    <s v="Chair"/>
    <x v="7"/>
    <n v="1"/>
    <n v="5034"/>
    <n v="0.08"/>
    <x v="165"/>
    <n v="3334.52"/>
    <n v="1296.76"/>
    <n v="0.28000000000000003"/>
    <x v="3"/>
    <s v="Express"/>
    <n v="2"/>
    <x v="1"/>
  </r>
  <r>
    <s v="ORD20250167"/>
    <x v="123"/>
    <s v="Apr"/>
    <x v="3"/>
    <n v="2025"/>
    <x v="0"/>
    <x v="2"/>
    <x v="2"/>
    <s v="Retail Store"/>
    <s v="Consumer"/>
    <x v="9"/>
    <x v="3"/>
    <s v="Snacks"/>
    <x v="5"/>
    <n v="25"/>
    <n v="161"/>
    <n v="0.01"/>
    <x v="166"/>
    <n v="2550.2399999999998"/>
    <n v="1434.51"/>
    <n v="0.36"/>
    <x v="1"/>
    <s v="Standard"/>
    <n v="7"/>
    <x v="0"/>
  </r>
  <r>
    <s v="ORD20250168"/>
    <x v="124"/>
    <s v="Jan"/>
    <x v="0"/>
    <n v="2025"/>
    <x v="0"/>
    <x v="2"/>
    <x v="13"/>
    <s v="Distributor"/>
    <s v="Consumer"/>
    <x v="5"/>
    <x v="2"/>
    <s v="Chair"/>
    <x v="10"/>
    <n v="2"/>
    <n v="14061"/>
    <n v="0.11"/>
    <x v="167"/>
    <n v="18521.150000000001"/>
    <n v="6507.43"/>
    <n v="0.26"/>
    <x v="1"/>
    <s v="Same Day"/>
    <n v="0"/>
    <x v="0"/>
  </r>
  <r>
    <s v="ORD20250169"/>
    <x v="22"/>
    <s v="Nov"/>
    <x v="1"/>
    <n v="2025"/>
    <x v="0"/>
    <x v="0"/>
    <x v="0"/>
    <s v="Distributor"/>
    <s v="Home Office"/>
    <x v="2"/>
    <x v="2"/>
    <s v="Chair"/>
    <x v="10"/>
    <n v="3"/>
    <n v="15707"/>
    <n v="0.12"/>
    <x v="168"/>
    <n v="30685.200000000001"/>
    <n v="10781.28"/>
    <n v="0.26"/>
    <x v="0"/>
    <s v="Same Day"/>
    <n v="0"/>
    <x v="0"/>
  </r>
  <r>
    <s v="ORD20250170"/>
    <x v="125"/>
    <s v="May"/>
    <x v="3"/>
    <n v="2025"/>
    <x v="2"/>
    <x v="10"/>
    <x v="15"/>
    <s v="Distributor"/>
    <s v="Consumer"/>
    <x v="0"/>
    <x v="3"/>
    <s v="Snacks"/>
    <x v="16"/>
    <n v="8"/>
    <n v="64"/>
    <n v="0.18"/>
    <x v="169"/>
    <n v="260.3"/>
    <n v="159.54"/>
    <n v="0.38"/>
    <x v="1"/>
    <s v="Same Day"/>
    <n v="0"/>
    <x v="3"/>
  </r>
  <r>
    <s v="ORD20250171"/>
    <x v="126"/>
    <s v="Mar"/>
    <x v="0"/>
    <n v="2025"/>
    <x v="2"/>
    <x v="8"/>
    <x v="10"/>
    <s v="Distributor"/>
    <s v="Corporate"/>
    <x v="5"/>
    <x v="3"/>
    <s v="Beverages"/>
    <x v="6"/>
    <n v="9"/>
    <n v="327"/>
    <n v="0.13"/>
    <x v="170"/>
    <n v="1689.87"/>
    <n v="870.54"/>
    <n v="0.34"/>
    <x v="3"/>
    <s v="Express"/>
    <n v="1"/>
    <x v="1"/>
  </r>
  <r>
    <s v="ORD20250172"/>
    <x v="127"/>
    <s v="Dec"/>
    <x v="1"/>
    <n v="2025"/>
    <x v="3"/>
    <x v="7"/>
    <x v="7"/>
    <s v="Distributor"/>
    <s v="Consumer"/>
    <x v="7"/>
    <x v="1"/>
    <s v="Accessories"/>
    <x v="8"/>
    <n v="4"/>
    <n v="1932"/>
    <n v="0.09"/>
    <x v="171"/>
    <n v="4922.74"/>
    <n v="2109.7399999999998"/>
    <n v="0.3"/>
    <x v="1"/>
    <s v="Standard"/>
    <n v="7"/>
    <x v="0"/>
  </r>
  <r>
    <s v="ORD20250173"/>
    <x v="4"/>
    <s v="Feb"/>
    <x v="0"/>
    <n v="2025"/>
    <x v="1"/>
    <x v="1"/>
    <x v="1"/>
    <s v="Online"/>
    <s v="Corporate"/>
    <x v="4"/>
    <x v="1"/>
    <s v="Accessories"/>
    <x v="15"/>
    <n v="6"/>
    <n v="1492"/>
    <n v="0.11"/>
    <x v="172"/>
    <n v="5417.75"/>
    <n v="2549.5300000000002"/>
    <n v="0.32"/>
    <x v="3"/>
    <s v="Express"/>
    <n v="1"/>
    <x v="0"/>
  </r>
  <r>
    <s v="ORD20250174"/>
    <x v="48"/>
    <s v="Aug"/>
    <x v="2"/>
    <n v="2025"/>
    <x v="2"/>
    <x v="10"/>
    <x v="15"/>
    <s v="Distributor"/>
    <s v="Corporate"/>
    <x v="8"/>
    <x v="0"/>
    <s v="Men"/>
    <x v="4"/>
    <n v="10"/>
    <n v="1560"/>
    <n v="0.08"/>
    <x v="173"/>
    <n v="8324.16"/>
    <n v="6027.84"/>
    <n v="0.42"/>
    <x v="3"/>
    <s v="Standard"/>
    <n v="7"/>
    <x v="0"/>
  </r>
  <r>
    <s v="ORD20250175"/>
    <x v="128"/>
    <s v="Jul"/>
    <x v="2"/>
    <n v="2025"/>
    <x v="1"/>
    <x v="1"/>
    <x v="20"/>
    <s v="Online"/>
    <s v="Corporate"/>
    <x v="2"/>
    <x v="1"/>
    <s v="Laptop"/>
    <x v="17"/>
    <n v="3"/>
    <n v="53423"/>
    <n v="0.15"/>
    <x v="174"/>
    <n v="114432.07"/>
    <n v="21796.58"/>
    <n v="0.16"/>
    <x v="2"/>
    <s v="Standard"/>
    <n v="7"/>
    <x v="2"/>
  </r>
  <r>
    <s v="ORD20250176"/>
    <x v="1"/>
    <s v="Mar"/>
    <x v="0"/>
    <n v="2025"/>
    <x v="1"/>
    <x v="3"/>
    <x v="3"/>
    <s v="Retail Store"/>
    <s v="Corporate"/>
    <x v="0"/>
    <x v="0"/>
    <s v="Men"/>
    <x v="13"/>
    <n v="7"/>
    <n v="2290"/>
    <n v="0.04"/>
    <x v="175"/>
    <n v="9233.2800000000007"/>
    <n v="6155.52"/>
    <n v="0.4"/>
    <x v="2"/>
    <s v="Express"/>
    <n v="3"/>
    <x v="0"/>
  </r>
  <r>
    <s v="ORD20250177"/>
    <x v="129"/>
    <s v="Feb"/>
    <x v="0"/>
    <n v="2025"/>
    <x v="3"/>
    <x v="13"/>
    <x v="22"/>
    <s v="Retail Store"/>
    <s v="Consumer"/>
    <x v="8"/>
    <x v="2"/>
    <s v="Table"/>
    <x v="11"/>
    <n v="2"/>
    <n v="27337"/>
    <n v="0.03"/>
    <x v="176"/>
    <n v="40305.67"/>
    <n v="12728.11"/>
    <n v="0.24"/>
    <x v="1"/>
    <s v="Standard"/>
    <n v="5"/>
    <x v="2"/>
  </r>
  <r>
    <s v="ORD20250178"/>
    <x v="130"/>
    <s v="Aug"/>
    <x v="2"/>
    <n v="2025"/>
    <x v="2"/>
    <x v="8"/>
    <x v="10"/>
    <s v="Distributor"/>
    <s v="Consumer"/>
    <x v="3"/>
    <x v="0"/>
    <s v="Women"/>
    <x v="14"/>
    <n v="6"/>
    <n v="3488"/>
    <n v="0.18"/>
    <x v="177"/>
    <n v="10811.4"/>
    <n v="6349.56"/>
    <n v="0.37"/>
    <x v="3"/>
    <s v="Standard"/>
    <n v="5"/>
    <x v="0"/>
  </r>
  <r>
    <s v="ORD20250179"/>
    <x v="128"/>
    <s v="Jul"/>
    <x v="2"/>
    <n v="2025"/>
    <x v="3"/>
    <x v="13"/>
    <x v="22"/>
    <s v="Online"/>
    <s v="Corporate"/>
    <x v="8"/>
    <x v="1"/>
    <s v="Accessories"/>
    <x v="15"/>
    <n v="4"/>
    <n v="1482"/>
    <n v="0.06"/>
    <x v="178"/>
    <n v="3789.18"/>
    <n v="1783.14"/>
    <n v="0.32"/>
    <x v="0"/>
    <s v="Express"/>
    <n v="3"/>
    <x v="2"/>
  </r>
  <r>
    <s v="ORD20250180"/>
    <x v="66"/>
    <s v="Jul"/>
    <x v="2"/>
    <n v="2025"/>
    <x v="1"/>
    <x v="3"/>
    <x v="3"/>
    <s v="Online"/>
    <s v="Consumer"/>
    <x v="3"/>
    <x v="0"/>
    <s v="Women"/>
    <x v="14"/>
    <n v="10"/>
    <n v="4689"/>
    <n v="0.14000000000000001"/>
    <x v="179"/>
    <n v="25405"/>
    <n v="14920.4"/>
    <n v="0.37"/>
    <x v="0"/>
    <s v="Express"/>
    <n v="2"/>
    <x v="0"/>
  </r>
  <r>
    <s v="ORD20250181"/>
    <x v="131"/>
    <s v="Oct"/>
    <x v="1"/>
    <n v="2025"/>
    <x v="1"/>
    <x v="3"/>
    <x v="3"/>
    <s v="Distributor"/>
    <s v="Home Office"/>
    <x v="1"/>
    <x v="0"/>
    <s v="Men"/>
    <x v="13"/>
    <n v="8"/>
    <n v="2091"/>
    <n v="0.18"/>
    <x v="180"/>
    <n v="8230.18"/>
    <n v="5486.78"/>
    <n v="0.4"/>
    <x v="1"/>
    <s v="Express"/>
    <n v="1"/>
    <x v="0"/>
  </r>
  <r>
    <s v="ORD20250182"/>
    <x v="132"/>
    <s v="Jan"/>
    <x v="0"/>
    <n v="2025"/>
    <x v="1"/>
    <x v="1"/>
    <x v="1"/>
    <s v="Online"/>
    <s v="Home Office"/>
    <x v="4"/>
    <x v="2"/>
    <s v="Table"/>
    <x v="3"/>
    <n v="2"/>
    <n v="10712"/>
    <n v="0.12"/>
    <x v="181"/>
    <n v="13385.72"/>
    <n v="5467.4"/>
    <n v="0.28999999999999998"/>
    <x v="3"/>
    <s v="Same Day"/>
    <n v="0"/>
    <x v="0"/>
  </r>
  <r>
    <s v="ORD20250183"/>
    <x v="54"/>
    <s v="Dec"/>
    <x v="1"/>
    <n v="2025"/>
    <x v="0"/>
    <x v="2"/>
    <x v="13"/>
    <s v="Online"/>
    <s v="Consumer"/>
    <x v="6"/>
    <x v="3"/>
    <s v="Beverages"/>
    <x v="9"/>
    <n v="16"/>
    <n v="452"/>
    <n v="0.1"/>
    <x v="182"/>
    <n v="4360.8999999999996"/>
    <n v="2147.9"/>
    <n v="0.33"/>
    <x v="1"/>
    <s v="Same Day"/>
    <n v="0"/>
    <x v="0"/>
  </r>
  <r>
    <s v="ORD20250184"/>
    <x v="71"/>
    <s v="Aug"/>
    <x v="2"/>
    <n v="2025"/>
    <x v="2"/>
    <x v="10"/>
    <x v="18"/>
    <s v="Online"/>
    <s v="Corporate"/>
    <x v="0"/>
    <x v="1"/>
    <s v="Mobile"/>
    <x v="12"/>
    <n v="5"/>
    <n v="30800"/>
    <n v="0.08"/>
    <x v="183"/>
    <n v="116177.60000000001"/>
    <n v="25502.400000000001"/>
    <n v="0.18"/>
    <x v="4"/>
    <s v="Express"/>
    <n v="3"/>
    <x v="0"/>
  </r>
  <r>
    <s v="ORD20250185"/>
    <x v="133"/>
    <s v="Jun"/>
    <x v="3"/>
    <n v="2025"/>
    <x v="3"/>
    <x v="13"/>
    <x v="21"/>
    <s v="Distributor"/>
    <s v="Consumer"/>
    <x v="5"/>
    <x v="1"/>
    <s v="Mobile"/>
    <x v="1"/>
    <n v="2"/>
    <n v="59730"/>
    <n v="0.15"/>
    <x v="184"/>
    <n v="89356.08"/>
    <n v="12184.92"/>
    <n v="0.12"/>
    <x v="3"/>
    <s v="Same Day"/>
    <n v="0"/>
    <x v="2"/>
  </r>
  <r>
    <s v="ORD20250186"/>
    <x v="134"/>
    <s v="May"/>
    <x v="3"/>
    <n v="2025"/>
    <x v="2"/>
    <x v="8"/>
    <x v="10"/>
    <s v="Distributor"/>
    <s v="Corporate"/>
    <x v="3"/>
    <x v="3"/>
    <s v="Beverages"/>
    <x v="9"/>
    <n v="19"/>
    <n v="459"/>
    <n v="0.18"/>
    <x v="185"/>
    <n v="4791.32"/>
    <n v="2359.9"/>
    <n v="0.33"/>
    <x v="3"/>
    <s v="Same Day"/>
    <n v="0"/>
    <x v="3"/>
  </r>
  <r>
    <s v="ORD20250187"/>
    <x v="135"/>
    <s v="Sep"/>
    <x v="2"/>
    <n v="2025"/>
    <x v="0"/>
    <x v="2"/>
    <x v="13"/>
    <s v="Online"/>
    <s v="Home Office"/>
    <x v="2"/>
    <x v="1"/>
    <s v="Mobile"/>
    <x v="1"/>
    <n v="1"/>
    <n v="69386"/>
    <n v="0.12"/>
    <x v="186"/>
    <n v="53732.52"/>
    <n v="7327.16"/>
    <n v="0.12"/>
    <x v="2"/>
    <s v="Same Day"/>
    <n v="0"/>
    <x v="3"/>
  </r>
  <r>
    <s v="ORD20250188"/>
    <x v="98"/>
    <s v="Dec"/>
    <x v="1"/>
    <n v="2025"/>
    <x v="3"/>
    <x v="13"/>
    <x v="21"/>
    <s v="Online"/>
    <s v="Consumer"/>
    <x v="8"/>
    <x v="2"/>
    <s v="Table"/>
    <x v="11"/>
    <n v="1"/>
    <n v="19601"/>
    <n v="0.05"/>
    <x v="187"/>
    <n v="14151.92"/>
    <n v="4469.03"/>
    <n v="0.24"/>
    <x v="1"/>
    <s v="Standard"/>
    <n v="7"/>
    <x v="2"/>
  </r>
  <r>
    <s v="ORD20250189"/>
    <x v="126"/>
    <s v="Mar"/>
    <x v="0"/>
    <n v="2025"/>
    <x v="2"/>
    <x v="10"/>
    <x v="15"/>
    <s v="Online"/>
    <s v="Corporate"/>
    <x v="4"/>
    <x v="0"/>
    <s v="Women"/>
    <x v="14"/>
    <n v="8"/>
    <n v="5628"/>
    <n v="0.06"/>
    <x v="188"/>
    <n v="26663.21"/>
    <n v="15659.35"/>
    <n v="0.37"/>
    <x v="0"/>
    <s v="Standard"/>
    <n v="4"/>
    <x v="0"/>
  </r>
  <r>
    <s v="ORD20250190"/>
    <x v="136"/>
    <s v="Jun"/>
    <x v="3"/>
    <n v="2025"/>
    <x v="0"/>
    <x v="11"/>
    <x v="16"/>
    <s v="Online"/>
    <s v="Home Office"/>
    <x v="3"/>
    <x v="1"/>
    <s v="Accessories"/>
    <x v="8"/>
    <n v="3"/>
    <n v="1965"/>
    <n v="0.13"/>
    <x v="189"/>
    <n v="3590.05"/>
    <n v="1538.6"/>
    <n v="0.3"/>
    <x v="3"/>
    <s v="Express"/>
    <n v="3"/>
    <x v="0"/>
  </r>
  <r>
    <s v="ORD20250191"/>
    <x v="137"/>
    <s v="Sep"/>
    <x v="2"/>
    <n v="2025"/>
    <x v="2"/>
    <x v="4"/>
    <x v="4"/>
    <s v="Distributor"/>
    <s v="Corporate"/>
    <x v="5"/>
    <x v="1"/>
    <s v="Mobile"/>
    <x v="12"/>
    <n v="3"/>
    <n v="31472"/>
    <n v="0.16"/>
    <x v="190"/>
    <n v="65033.74"/>
    <n v="14275.7"/>
    <n v="0.18"/>
    <x v="1"/>
    <s v="Express"/>
    <n v="2"/>
    <x v="0"/>
  </r>
  <r>
    <s v="ORD20250192"/>
    <x v="121"/>
    <s v="May"/>
    <x v="3"/>
    <n v="2025"/>
    <x v="0"/>
    <x v="11"/>
    <x v="16"/>
    <s v="Online"/>
    <s v="Corporate"/>
    <x v="1"/>
    <x v="0"/>
    <s v="Men"/>
    <x v="4"/>
    <n v="12"/>
    <n v="1812"/>
    <n v="0.13"/>
    <x v="191"/>
    <n v="10972.02"/>
    <n v="7945.26"/>
    <n v="0.42"/>
    <x v="0"/>
    <s v="Standard"/>
    <n v="7"/>
    <x v="1"/>
  </r>
  <r>
    <s v="ORD20250193"/>
    <x v="138"/>
    <s v="Jun"/>
    <x v="3"/>
    <n v="2025"/>
    <x v="0"/>
    <x v="2"/>
    <x v="13"/>
    <s v="Retail Store"/>
    <s v="Home Office"/>
    <x v="0"/>
    <x v="1"/>
    <s v="Accessories"/>
    <x v="8"/>
    <n v="6"/>
    <n v="2923"/>
    <n v="0.02"/>
    <x v="192"/>
    <n v="12031.07"/>
    <n v="5156.17"/>
    <n v="0.3"/>
    <x v="4"/>
    <s v="Standard"/>
    <n v="4"/>
    <x v="3"/>
  </r>
  <r>
    <s v="ORD20250194"/>
    <x v="122"/>
    <s v="Jul"/>
    <x v="2"/>
    <n v="2025"/>
    <x v="2"/>
    <x v="10"/>
    <x v="18"/>
    <s v="Online"/>
    <s v="Home Office"/>
    <x v="3"/>
    <x v="3"/>
    <s v="Snacks"/>
    <x v="5"/>
    <n v="30"/>
    <n v="104"/>
    <n v="0.11"/>
    <x v="193"/>
    <n v="1777.15"/>
    <n v="999.65"/>
    <n v="0.36"/>
    <x v="3"/>
    <s v="Same Day"/>
    <n v="0"/>
    <x v="1"/>
  </r>
  <r>
    <s v="ORD20250195"/>
    <x v="83"/>
    <s v="Jul"/>
    <x v="2"/>
    <n v="2025"/>
    <x v="3"/>
    <x v="12"/>
    <x v="25"/>
    <s v="Online"/>
    <s v="Corporate"/>
    <x v="4"/>
    <x v="3"/>
    <s v="Snacks"/>
    <x v="16"/>
    <n v="21"/>
    <n v="74"/>
    <n v="0.06"/>
    <x v="194"/>
    <n v="905.67"/>
    <n v="555.09"/>
    <n v="0.38"/>
    <x v="1"/>
    <s v="Standard"/>
    <n v="7"/>
    <x v="0"/>
  </r>
  <r>
    <s v="ORD20250196"/>
    <x v="139"/>
    <s v="May"/>
    <x v="3"/>
    <n v="2025"/>
    <x v="0"/>
    <x v="11"/>
    <x v="16"/>
    <s v="Online"/>
    <s v="Consumer"/>
    <x v="2"/>
    <x v="1"/>
    <s v="Laptop"/>
    <x v="2"/>
    <n v="1"/>
    <n v="54566"/>
    <n v="0.06"/>
    <x v="195"/>
    <n v="43598.23"/>
    <n v="7693.81"/>
    <n v="0.15"/>
    <x v="1"/>
    <s v="Same Day"/>
    <n v="0"/>
    <x v="3"/>
  </r>
  <r>
    <s v="ORD20250197"/>
    <x v="70"/>
    <s v="Mar"/>
    <x v="0"/>
    <n v="2025"/>
    <x v="0"/>
    <x v="0"/>
    <x v="0"/>
    <s v="Online"/>
    <s v="Home Office"/>
    <x v="4"/>
    <x v="1"/>
    <s v="Accessories"/>
    <x v="15"/>
    <n v="5"/>
    <n v="1329"/>
    <n v="0.06"/>
    <x v="196"/>
    <n v="4247.4799999999996"/>
    <n v="1998.82"/>
    <n v="0.32"/>
    <x v="1"/>
    <s v="Express"/>
    <n v="3"/>
    <x v="0"/>
  </r>
  <r>
    <s v="ORD20250198"/>
    <x v="69"/>
    <s v="Jul"/>
    <x v="2"/>
    <n v="2025"/>
    <x v="0"/>
    <x v="11"/>
    <x v="16"/>
    <s v="Retail Store"/>
    <s v="Consumer"/>
    <x v="1"/>
    <x v="0"/>
    <s v="Women"/>
    <x v="0"/>
    <n v="10"/>
    <n v="2466"/>
    <n v="0.04"/>
    <x v="197"/>
    <n v="13493.95"/>
    <n v="10179.65"/>
    <n v="0.43"/>
    <x v="4"/>
    <s v="Standard"/>
    <n v="4"/>
    <x v="3"/>
  </r>
  <r>
    <s v="ORD20250199"/>
    <x v="3"/>
    <s v="Jul"/>
    <x v="2"/>
    <n v="2025"/>
    <x v="1"/>
    <x v="6"/>
    <x v="11"/>
    <s v="Online"/>
    <s v="Consumer"/>
    <x v="3"/>
    <x v="0"/>
    <s v="Men"/>
    <x v="13"/>
    <n v="11"/>
    <n v="2686"/>
    <n v="0.14000000000000001"/>
    <x v="198"/>
    <n v="15245.74"/>
    <n v="10163.82"/>
    <n v="0.4"/>
    <x v="2"/>
    <s v="Express"/>
    <n v="3"/>
    <x v="0"/>
  </r>
  <r>
    <s v="ORD20250200"/>
    <x v="140"/>
    <s v="Oct"/>
    <x v="1"/>
    <n v="2025"/>
    <x v="0"/>
    <x v="2"/>
    <x v="2"/>
    <s v="Online"/>
    <s v="Corporate"/>
    <x v="2"/>
    <x v="1"/>
    <s v="Accessories"/>
    <x v="8"/>
    <n v="4"/>
    <n v="2735"/>
    <n v="0.08"/>
    <x v="199"/>
    <n v="7045.36"/>
    <n v="3019.44"/>
    <n v="0.3"/>
    <x v="3"/>
    <s v="Standard"/>
    <n v="4"/>
    <x v="0"/>
  </r>
  <r>
    <s v="ORD20250201"/>
    <x v="6"/>
    <s v="Jun"/>
    <x v="3"/>
    <n v="2025"/>
    <x v="0"/>
    <x v="11"/>
    <x v="16"/>
    <s v="Distributor"/>
    <s v="Consumer"/>
    <x v="8"/>
    <x v="3"/>
    <s v="Beverages"/>
    <x v="9"/>
    <n v="6"/>
    <n v="369"/>
    <n v="0.11"/>
    <x v="200"/>
    <n v="1320.21"/>
    <n v="650.25"/>
    <n v="0.33"/>
    <x v="4"/>
    <s v="Express"/>
    <n v="1"/>
    <x v="3"/>
  </r>
  <r>
    <s v="ORD20250202"/>
    <x v="7"/>
    <s v="Oct"/>
    <x v="1"/>
    <n v="2025"/>
    <x v="3"/>
    <x v="7"/>
    <x v="17"/>
    <s v="Distributor"/>
    <s v="Home Office"/>
    <x v="1"/>
    <x v="3"/>
    <s v="Beverages"/>
    <x v="6"/>
    <n v="10"/>
    <n v="401"/>
    <n v="0.14000000000000001"/>
    <x v="201"/>
    <n v="2276.08"/>
    <n v="1172.52"/>
    <n v="0.34"/>
    <x v="2"/>
    <s v="Standard"/>
    <n v="7"/>
    <x v="0"/>
  </r>
  <r>
    <s v="ORD20250203"/>
    <x v="141"/>
    <s v="Sep"/>
    <x v="2"/>
    <n v="2025"/>
    <x v="0"/>
    <x v="2"/>
    <x v="2"/>
    <s v="Online"/>
    <s v="Corporate"/>
    <x v="0"/>
    <x v="1"/>
    <s v="Laptop"/>
    <x v="2"/>
    <n v="3"/>
    <n v="60121"/>
    <n v="0.06"/>
    <x v="202"/>
    <n v="144110.04"/>
    <n v="25431.18"/>
    <n v="0.15"/>
    <x v="2"/>
    <s v="Express"/>
    <n v="1"/>
    <x v="1"/>
  </r>
  <r>
    <s v="ORD20250204"/>
    <x v="142"/>
    <s v="Jul"/>
    <x v="2"/>
    <n v="2025"/>
    <x v="3"/>
    <x v="5"/>
    <x v="5"/>
    <s v="Online"/>
    <s v="Consumer"/>
    <x v="9"/>
    <x v="3"/>
    <s v="Snacks"/>
    <x v="16"/>
    <n v="30"/>
    <n v="111"/>
    <n v="0.15"/>
    <x v="203"/>
    <n v="1754.91"/>
    <n v="1075.5899999999999"/>
    <n v="0.38"/>
    <x v="0"/>
    <s v="Express"/>
    <n v="3"/>
    <x v="0"/>
  </r>
  <r>
    <s v="ORD20250205"/>
    <x v="143"/>
    <s v="Jan"/>
    <x v="0"/>
    <n v="2025"/>
    <x v="3"/>
    <x v="13"/>
    <x v="21"/>
    <s v="Online"/>
    <s v="Consumer"/>
    <x v="1"/>
    <x v="2"/>
    <s v="Chair"/>
    <x v="10"/>
    <n v="1"/>
    <n v="10351"/>
    <n v="0.06"/>
    <x v="204"/>
    <n v="7200.16"/>
    <n v="2529.7800000000002"/>
    <n v="0.26"/>
    <x v="3"/>
    <s v="Express"/>
    <n v="2"/>
    <x v="0"/>
  </r>
  <r>
    <s v="ORD20250206"/>
    <x v="144"/>
    <s v="Apr"/>
    <x v="3"/>
    <n v="2025"/>
    <x v="0"/>
    <x v="2"/>
    <x v="13"/>
    <s v="Retail Store"/>
    <s v="Home Office"/>
    <x v="0"/>
    <x v="3"/>
    <s v="Beverages"/>
    <x v="9"/>
    <n v="11"/>
    <n v="410"/>
    <n v="0.06"/>
    <x v="205"/>
    <n v="2840.4"/>
    <n v="1399"/>
    <n v="0.33"/>
    <x v="3"/>
    <s v="Standard"/>
    <n v="3"/>
    <x v="0"/>
  </r>
  <r>
    <s v="ORD20250207"/>
    <x v="145"/>
    <s v="May"/>
    <x v="3"/>
    <n v="2025"/>
    <x v="0"/>
    <x v="0"/>
    <x v="0"/>
    <s v="Online"/>
    <s v="Home Office"/>
    <x v="3"/>
    <x v="3"/>
    <s v="Beverages"/>
    <x v="6"/>
    <n v="8"/>
    <n v="203"/>
    <n v="0.11"/>
    <x v="206"/>
    <n v="953.94"/>
    <n v="491.42"/>
    <n v="0.34"/>
    <x v="1"/>
    <s v="Same Day"/>
    <n v="0"/>
    <x v="0"/>
  </r>
  <r>
    <s v="ORD20250208"/>
    <x v="6"/>
    <s v="Jun"/>
    <x v="3"/>
    <n v="2025"/>
    <x v="3"/>
    <x v="5"/>
    <x v="5"/>
    <s v="Retail Store"/>
    <s v="Consumer"/>
    <x v="3"/>
    <x v="3"/>
    <s v="Snacks"/>
    <x v="5"/>
    <n v="8"/>
    <n v="116"/>
    <n v="0.06"/>
    <x v="207"/>
    <n v="558.28"/>
    <n v="314.04000000000002"/>
    <n v="0.36"/>
    <x v="1"/>
    <s v="Standard"/>
    <n v="5"/>
    <x v="0"/>
  </r>
  <r>
    <s v="ORD20250209"/>
    <x v="77"/>
    <s v="May"/>
    <x v="3"/>
    <n v="2025"/>
    <x v="3"/>
    <x v="13"/>
    <x v="22"/>
    <s v="Distributor"/>
    <s v="Corporate"/>
    <x v="1"/>
    <x v="1"/>
    <s v="Laptop"/>
    <x v="17"/>
    <n v="1"/>
    <n v="51699"/>
    <n v="0.12"/>
    <x v="208"/>
    <n v="38215.9"/>
    <n v="7279.22"/>
    <n v="0.16"/>
    <x v="0"/>
    <s v="Standard"/>
    <n v="4"/>
    <x v="3"/>
  </r>
  <r>
    <s v="ORD20250210"/>
    <x v="146"/>
    <s v="Jul"/>
    <x v="2"/>
    <n v="2025"/>
    <x v="2"/>
    <x v="4"/>
    <x v="14"/>
    <s v="Retail Store"/>
    <s v="Consumer"/>
    <x v="8"/>
    <x v="0"/>
    <s v="Men"/>
    <x v="13"/>
    <n v="5"/>
    <n v="2467"/>
    <n v="0.09"/>
    <x v="209"/>
    <n v="6734.91"/>
    <n v="4489.9399999999996"/>
    <n v="0.4"/>
    <x v="3"/>
    <s v="Same Day"/>
    <n v="0"/>
    <x v="0"/>
  </r>
  <r>
    <s v="ORD20250211"/>
    <x v="139"/>
    <s v="May"/>
    <x v="3"/>
    <n v="2025"/>
    <x v="1"/>
    <x v="3"/>
    <x v="3"/>
    <s v="Retail Store"/>
    <s v="Corporate"/>
    <x v="8"/>
    <x v="1"/>
    <s v="Mobile"/>
    <x v="1"/>
    <n v="3"/>
    <n v="59118"/>
    <n v="0.1"/>
    <x v="210"/>
    <n v="140464.37"/>
    <n v="19154.23"/>
    <n v="0.12"/>
    <x v="1"/>
    <s v="Standard"/>
    <n v="6"/>
    <x v="1"/>
  </r>
  <r>
    <s v="ORD20250212"/>
    <x v="31"/>
    <s v="Aug"/>
    <x v="2"/>
    <n v="2025"/>
    <x v="3"/>
    <x v="13"/>
    <x v="21"/>
    <s v="Online"/>
    <s v="Consumer"/>
    <x v="3"/>
    <x v="2"/>
    <s v="Table"/>
    <x v="3"/>
    <n v="3"/>
    <n v="10736"/>
    <n v="7.0000000000000007E-2"/>
    <x v="211"/>
    <n v="21266.94"/>
    <n v="8686.5"/>
    <n v="0.28999999999999998"/>
    <x v="4"/>
    <s v="Standard"/>
    <n v="7"/>
    <x v="0"/>
  </r>
  <r>
    <s v="ORD20250213"/>
    <x v="123"/>
    <s v="Apr"/>
    <x v="3"/>
    <n v="2025"/>
    <x v="2"/>
    <x v="8"/>
    <x v="10"/>
    <s v="Online"/>
    <s v="Home Office"/>
    <x v="3"/>
    <x v="1"/>
    <s v="Accessories"/>
    <x v="8"/>
    <n v="6"/>
    <n v="3202"/>
    <n v="0.12"/>
    <x v="212"/>
    <n v="11834.59"/>
    <n v="5071.97"/>
    <n v="0.3"/>
    <x v="3"/>
    <s v="Same Day"/>
    <n v="0"/>
    <x v="1"/>
  </r>
  <r>
    <s v="ORD20250214"/>
    <x v="100"/>
    <s v="Sep"/>
    <x v="2"/>
    <n v="2025"/>
    <x v="2"/>
    <x v="4"/>
    <x v="4"/>
    <s v="Retail Store"/>
    <s v="Corporate"/>
    <x v="9"/>
    <x v="2"/>
    <s v="Chair"/>
    <x v="10"/>
    <n v="1"/>
    <n v="8705"/>
    <n v="0.01"/>
    <x v="213"/>
    <n v="6377.28"/>
    <n v="2240.67"/>
    <n v="0.26"/>
    <x v="1"/>
    <s v="Standard"/>
    <n v="3"/>
    <x v="1"/>
  </r>
  <r>
    <s v="ORD20250215"/>
    <x v="1"/>
    <s v="Mar"/>
    <x v="0"/>
    <n v="2025"/>
    <x v="1"/>
    <x v="1"/>
    <x v="1"/>
    <s v="Distributor"/>
    <s v="Consumer"/>
    <x v="6"/>
    <x v="2"/>
    <s v="Table"/>
    <x v="11"/>
    <n v="1"/>
    <n v="22711"/>
    <n v="0.18"/>
    <x v="214"/>
    <n v="14153.5"/>
    <n v="4469.5200000000004"/>
    <n v="0.24"/>
    <x v="2"/>
    <s v="Same Day"/>
    <n v="0"/>
    <x v="0"/>
  </r>
  <r>
    <s v="ORD20250216"/>
    <x v="9"/>
    <s v="Mar"/>
    <x v="0"/>
    <n v="2025"/>
    <x v="1"/>
    <x v="9"/>
    <x v="23"/>
    <s v="Retail Store"/>
    <s v="Corporate"/>
    <x v="7"/>
    <x v="0"/>
    <s v="Women"/>
    <x v="14"/>
    <n v="3"/>
    <n v="4688"/>
    <n v="0.04"/>
    <x v="215"/>
    <n v="8505.91"/>
    <n v="4995.53"/>
    <n v="0.37"/>
    <x v="0"/>
    <s v="Same Day"/>
    <n v="0"/>
    <x v="1"/>
  </r>
  <r>
    <s v="ORD20250217"/>
    <x v="100"/>
    <s v="Sep"/>
    <x v="2"/>
    <n v="2025"/>
    <x v="2"/>
    <x v="8"/>
    <x v="10"/>
    <s v="Retail Store"/>
    <s v="Consumer"/>
    <x v="2"/>
    <x v="3"/>
    <s v="Beverages"/>
    <x v="6"/>
    <n v="23"/>
    <n v="189"/>
    <n v="0.01"/>
    <x v="216"/>
    <n v="2840.33"/>
    <n v="1463.2"/>
    <n v="0.34"/>
    <x v="3"/>
    <s v="Standard"/>
    <n v="3"/>
    <x v="0"/>
  </r>
  <r>
    <s v="ORD20250218"/>
    <x v="147"/>
    <s v="Aug"/>
    <x v="2"/>
    <n v="2025"/>
    <x v="0"/>
    <x v="0"/>
    <x v="0"/>
    <s v="Online"/>
    <s v="Home Office"/>
    <x v="7"/>
    <x v="2"/>
    <s v="Table"/>
    <x v="11"/>
    <n v="2"/>
    <n v="16258"/>
    <n v="0.09"/>
    <x v="217"/>
    <n v="22488.07"/>
    <n v="7101.49"/>
    <n v="0.24"/>
    <x v="2"/>
    <s v="Standard"/>
    <n v="3"/>
    <x v="2"/>
  </r>
  <r>
    <s v="ORD20250219"/>
    <x v="102"/>
    <s v="Aug"/>
    <x v="2"/>
    <n v="2025"/>
    <x v="2"/>
    <x v="8"/>
    <x v="10"/>
    <s v="Distributor"/>
    <s v="Consumer"/>
    <x v="0"/>
    <x v="2"/>
    <s v="Table"/>
    <x v="3"/>
    <n v="1"/>
    <n v="8175"/>
    <n v="0.09"/>
    <x v="218"/>
    <n v="5281.87"/>
    <n v="2157.38"/>
    <n v="0.28999999999999998"/>
    <x v="2"/>
    <s v="Standard"/>
    <n v="6"/>
    <x v="0"/>
  </r>
  <r>
    <s v="ORD20250220"/>
    <x v="148"/>
    <s v="Mar"/>
    <x v="0"/>
    <n v="2025"/>
    <x v="2"/>
    <x v="4"/>
    <x v="4"/>
    <s v="Online"/>
    <s v="Consumer"/>
    <x v="5"/>
    <x v="0"/>
    <s v="Women"/>
    <x v="0"/>
    <n v="10"/>
    <n v="4330"/>
    <n v="0.06"/>
    <x v="219"/>
    <n v="23200.14"/>
    <n v="17501.86"/>
    <n v="0.43"/>
    <x v="1"/>
    <s v="Standard"/>
    <n v="4"/>
    <x v="0"/>
  </r>
  <r>
    <s v="ORD20250221"/>
    <x v="106"/>
    <s v="May"/>
    <x v="3"/>
    <n v="2025"/>
    <x v="2"/>
    <x v="4"/>
    <x v="14"/>
    <s v="Online"/>
    <s v="Home Office"/>
    <x v="8"/>
    <x v="1"/>
    <s v="Mobile"/>
    <x v="1"/>
    <n v="5"/>
    <n v="60419"/>
    <n v="0.11"/>
    <x v="220"/>
    <n v="236600.8"/>
    <n v="32263.75"/>
    <n v="0.12"/>
    <x v="4"/>
    <s v="Express"/>
    <n v="1"/>
    <x v="2"/>
  </r>
  <r>
    <s v="ORD20250222"/>
    <x v="108"/>
    <s v="Oct"/>
    <x v="1"/>
    <n v="2025"/>
    <x v="0"/>
    <x v="0"/>
    <x v="0"/>
    <s v="Online"/>
    <s v="Consumer"/>
    <x v="6"/>
    <x v="0"/>
    <s v="Women"/>
    <x v="14"/>
    <n v="9"/>
    <n v="7327"/>
    <n v="0.15"/>
    <x v="221"/>
    <n v="35312.480000000003"/>
    <n v="20739.07"/>
    <n v="0.37"/>
    <x v="0"/>
    <s v="Standard"/>
    <n v="3"/>
    <x v="0"/>
  </r>
  <r>
    <s v="ORD20250223"/>
    <x v="34"/>
    <s v="Apr"/>
    <x v="3"/>
    <n v="2025"/>
    <x v="3"/>
    <x v="5"/>
    <x v="5"/>
    <s v="Online"/>
    <s v="Consumer"/>
    <x v="4"/>
    <x v="0"/>
    <s v="Women"/>
    <x v="14"/>
    <n v="4"/>
    <n v="5871"/>
    <n v="0.08"/>
    <x v="222"/>
    <n v="13611.33"/>
    <n v="7993.95"/>
    <n v="0.37"/>
    <x v="0"/>
    <s v="Express"/>
    <n v="1"/>
    <x v="0"/>
  </r>
  <r>
    <s v="ORD20250224"/>
    <x v="149"/>
    <s v="Apr"/>
    <x v="3"/>
    <n v="2025"/>
    <x v="1"/>
    <x v="1"/>
    <x v="1"/>
    <s v="Retail Store"/>
    <s v="Corporate"/>
    <x v="7"/>
    <x v="0"/>
    <s v="Men"/>
    <x v="13"/>
    <n v="4"/>
    <n v="1570"/>
    <n v="0.09"/>
    <x v="223"/>
    <n v="3428.88"/>
    <n v="2285.92"/>
    <n v="0.4"/>
    <x v="0"/>
    <s v="Express"/>
    <n v="1"/>
    <x v="0"/>
  </r>
  <r>
    <s v="ORD20250225"/>
    <x v="95"/>
    <s v="Mar"/>
    <x v="0"/>
    <n v="2025"/>
    <x v="3"/>
    <x v="12"/>
    <x v="25"/>
    <s v="Online"/>
    <s v="Home Office"/>
    <x v="1"/>
    <x v="3"/>
    <s v="Beverages"/>
    <x v="6"/>
    <n v="26"/>
    <n v="406"/>
    <n v="0.09"/>
    <x v="224"/>
    <n v="6339.93"/>
    <n v="3266.03"/>
    <n v="0.34"/>
    <x v="4"/>
    <s v="Express"/>
    <n v="2"/>
    <x v="2"/>
  </r>
  <r>
    <s v="ORD20250226"/>
    <x v="150"/>
    <s v="May"/>
    <x v="3"/>
    <n v="2025"/>
    <x v="1"/>
    <x v="1"/>
    <x v="1"/>
    <s v="Online"/>
    <s v="Corporate"/>
    <x v="5"/>
    <x v="1"/>
    <s v="Mobile"/>
    <x v="1"/>
    <n v="6"/>
    <n v="66788"/>
    <n v="0.11"/>
    <x v="225"/>
    <n v="313850.17"/>
    <n v="42797.75"/>
    <n v="0.12"/>
    <x v="3"/>
    <s v="Standard"/>
    <n v="6"/>
    <x v="0"/>
  </r>
  <r>
    <s v="ORD20250227"/>
    <x v="151"/>
    <s v="Jan"/>
    <x v="0"/>
    <n v="2025"/>
    <x v="2"/>
    <x v="10"/>
    <x v="18"/>
    <s v="Distributor"/>
    <s v="Consumer"/>
    <x v="3"/>
    <x v="2"/>
    <s v="Chair"/>
    <x v="7"/>
    <n v="1"/>
    <n v="5862"/>
    <n v="0.09"/>
    <x v="226"/>
    <n v="3840.78"/>
    <n v="1493.64"/>
    <n v="0.28000000000000003"/>
    <x v="2"/>
    <s v="Express"/>
    <n v="1"/>
    <x v="1"/>
  </r>
  <r>
    <s v="ORD20250228"/>
    <x v="112"/>
    <s v="Dec"/>
    <x v="1"/>
    <n v="2025"/>
    <x v="0"/>
    <x v="2"/>
    <x v="2"/>
    <s v="Distributor"/>
    <s v="Home Office"/>
    <x v="0"/>
    <x v="0"/>
    <s v="Men"/>
    <x v="4"/>
    <n v="2"/>
    <n v="1975"/>
    <n v="0.18"/>
    <x v="227"/>
    <n v="1878.62"/>
    <n v="1360.38"/>
    <n v="0.42"/>
    <x v="0"/>
    <s v="Express"/>
    <n v="1"/>
    <x v="3"/>
  </r>
  <r>
    <s v="ORD20250229"/>
    <x v="47"/>
    <s v="Feb"/>
    <x v="0"/>
    <n v="2025"/>
    <x v="2"/>
    <x v="8"/>
    <x v="10"/>
    <s v="Retail Store"/>
    <s v="Home Office"/>
    <x v="9"/>
    <x v="0"/>
    <s v="Men"/>
    <x v="4"/>
    <n v="4"/>
    <n v="1794"/>
    <n v="0.06"/>
    <x v="228"/>
    <n v="3912.36"/>
    <n v="2833.08"/>
    <n v="0.42"/>
    <x v="2"/>
    <s v="Same Day"/>
    <n v="0"/>
    <x v="2"/>
  </r>
  <r>
    <s v="ORD20250230"/>
    <x v="99"/>
    <s v="Sep"/>
    <x v="2"/>
    <n v="2025"/>
    <x v="2"/>
    <x v="8"/>
    <x v="10"/>
    <s v="Retail Store"/>
    <s v="Home Office"/>
    <x v="7"/>
    <x v="0"/>
    <s v="Men"/>
    <x v="13"/>
    <n v="4"/>
    <n v="2854"/>
    <n v="0.03"/>
    <x v="229"/>
    <n v="6644.11"/>
    <n v="4429.41"/>
    <n v="0.4"/>
    <x v="1"/>
    <s v="Express"/>
    <n v="2"/>
    <x v="0"/>
  </r>
  <r>
    <s v="ORD20250231"/>
    <x v="152"/>
    <s v="Jul"/>
    <x v="2"/>
    <n v="2025"/>
    <x v="2"/>
    <x v="8"/>
    <x v="10"/>
    <s v="Distributor"/>
    <s v="Home Office"/>
    <x v="9"/>
    <x v="0"/>
    <s v="Men"/>
    <x v="4"/>
    <n v="9"/>
    <n v="1378"/>
    <n v="0.14000000000000001"/>
    <x v="230"/>
    <n v="6186.12"/>
    <n v="4479.6000000000004"/>
    <n v="0.42"/>
    <x v="3"/>
    <s v="Same Day"/>
    <n v="0"/>
    <x v="0"/>
  </r>
  <r>
    <s v="ORD20250232"/>
    <x v="66"/>
    <s v="Jul"/>
    <x v="2"/>
    <n v="2025"/>
    <x v="2"/>
    <x v="8"/>
    <x v="10"/>
    <s v="Online"/>
    <s v="Corporate"/>
    <x v="5"/>
    <x v="2"/>
    <s v="Chair"/>
    <x v="7"/>
    <n v="3"/>
    <n v="8369"/>
    <n v="0.14000000000000001"/>
    <x v="231"/>
    <n v="15546.25"/>
    <n v="6045.77"/>
    <n v="0.28000000000000003"/>
    <x v="0"/>
    <s v="Standard"/>
    <n v="6"/>
    <x v="3"/>
  </r>
  <r>
    <s v="ORD20250233"/>
    <x v="140"/>
    <s v="Oct"/>
    <x v="1"/>
    <n v="2025"/>
    <x v="0"/>
    <x v="0"/>
    <x v="0"/>
    <s v="Retail Store"/>
    <s v="Home Office"/>
    <x v="6"/>
    <x v="1"/>
    <s v="Laptop"/>
    <x v="2"/>
    <n v="1"/>
    <n v="60890"/>
    <n v="0.08"/>
    <x v="232"/>
    <n v="47615.98"/>
    <n v="8402.82"/>
    <n v="0.15"/>
    <x v="4"/>
    <s v="Same Day"/>
    <n v="0"/>
    <x v="3"/>
  </r>
  <r>
    <s v="ORD20250234"/>
    <x v="153"/>
    <s v="May"/>
    <x v="3"/>
    <n v="2025"/>
    <x v="0"/>
    <x v="0"/>
    <x v="0"/>
    <s v="Distributor"/>
    <s v="Consumer"/>
    <x v="5"/>
    <x v="1"/>
    <s v="Laptop"/>
    <x v="2"/>
    <n v="6"/>
    <n v="57890"/>
    <n v="0.14000000000000001"/>
    <x v="233"/>
    <n v="253905.54"/>
    <n v="44806.86"/>
    <n v="0.15"/>
    <x v="4"/>
    <s v="Standard"/>
    <n v="3"/>
    <x v="0"/>
  </r>
  <r>
    <s v="ORD20250235"/>
    <x v="17"/>
    <s v="Apr"/>
    <x v="3"/>
    <n v="2025"/>
    <x v="3"/>
    <x v="7"/>
    <x v="17"/>
    <s v="Distributor"/>
    <s v="Corporate"/>
    <x v="1"/>
    <x v="1"/>
    <s v="Accessories"/>
    <x v="15"/>
    <n v="4"/>
    <n v="1048"/>
    <n v="0.1"/>
    <x v="234"/>
    <n v="2565.5"/>
    <n v="1207.3"/>
    <n v="0.32"/>
    <x v="3"/>
    <s v="Express"/>
    <n v="2"/>
    <x v="0"/>
  </r>
  <r>
    <s v="ORD20250236"/>
    <x v="154"/>
    <s v="Apr"/>
    <x v="3"/>
    <n v="2025"/>
    <x v="3"/>
    <x v="12"/>
    <x v="25"/>
    <s v="Retail Store"/>
    <s v="Home Office"/>
    <x v="7"/>
    <x v="2"/>
    <s v="Chair"/>
    <x v="7"/>
    <n v="3"/>
    <n v="8228"/>
    <n v="0.08"/>
    <x v="235"/>
    <n v="16350.68"/>
    <n v="6358.6"/>
    <n v="0.28000000000000003"/>
    <x v="2"/>
    <s v="Standard"/>
    <n v="3"/>
    <x v="0"/>
  </r>
  <r>
    <s v="ORD20250237"/>
    <x v="155"/>
    <s v="Dec"/>
    <x v="1"/>
    <n v="2025"/>
    <x v="2"/>
    <x v="8"/>
    <x v="10"/>
    <s v="Retail Store"/>
    <s v="Consumer"/>
    <x v="4"/>
    <x v="0"/>
    <s v="Men"/>
    <x v="4"/>
    <n v="5"/>
    <n v="2119"/>
    <n v="0.05"/>
    <x v="236"/>
    <n v="5837.84"/>
    <n v="4227.41"/>
    <n v="0.42"/>
    <x v="0"/>
    <s v="Express"/>
    <n v="1"/>
    <x v="2"/>
  </r>
  <r>
    <s v="ORD20250238"/>
    <x v="119"/>
    <s v="Apr"/>
    <x v="3"/>
    <n v="2025"/>
    <x v="0"/>
    <x v="11"/>
    <x v="16"/>
    <s v="Online"/>
    <s v="Corporate"/>
    <x v="1"/>
    <x v="2"/>
    <s v="Table"/>
    <x v="3"/>
    <n v="3"/>
    <n v="5161"/>
    <n v="0.05"/>
    <x v="237"/>
    <n v="10443.280000000001"/>
    <n v="4265.57"/>
    <n v="0.28999999999999998"/>
    <x v="3"/>
    <s v="Express"/>
    <n v="2"/>
    <x v="0"/>
  </r>
  <r>
    <s v="ORD20250239"/>
    <x v="146"/>
    <s v="Jul"/>
    <x v="2"/>
    <n v="2025"/>
    <x v="3"/>
    <x v="5"/>
    <x v="5"/>
    <s v="Retail Store"/>
    <s v="Corporate"/>
    <x v="5"/>
    <x v="1"/>
    <s v="Mobile"/>
    <x v="12"/>
    <n v="6"/>
    <n v="30019"/>
    <n v="0.05"/>
    <x v="238"/>
    <n v="140308.81"/>
    <n v="30799.49"/>
    <n v="0.18"/>
    <x v="3"/>
    <s v="Same Day"/>
    <n v="0"/>
    <x v="0"/>
  </r>
  <r>
    <s v="ORD20250240"/>
    <x v="66"/>
    <s v="Jul"/>
    <x v="2"/>
    <n v="2025"/>
    <x v="0"/>
    <x v="2"/>
    <x v="13"/>
    <s v="Distributor"/>
    <s v="Corporate"/>
    <x v="3"/>
    <x v="0"/>
    <s v="Men"/>
    <x v="13"/>
    <n v="5"/>
    <n v="2944"/>
    <n v="0.18"/>
    <x v="239"/>
    <n v="7242.24"/>
    <n v="4828.16"/>
    <n v="0.4"/>
    <x v="0"/>
    <s v="Standard"/>
    <n v="4"/>
    <x v="3"/>
  </r>
  <r>
    <s v="ORD20250241"/>
    <x v="29"/>
    <s v="Jun"/>
    <x v="3"/>
    <n v="2025"/>
    <x v="0"/>
    <x v="2"/>
    <x v="13"/>
    <s v="Retail Store"/>
    <s v="Consumer"/>
    <x v="1"/>
    <x v="3"/>
    <s v="Snacks"/>
    <x v="16"/>
    <n v="15"/>
    <n v="68"/>
    <n v="7.0000000000000007E-2"/>
    <x v="240"/>
    <n v="588.13"/>
    <n v="360.47"/>
    <n v="0.38"/>
    <x v="3"/>
    <s v="Same Day"/>
    <n v="0"/>
    <x v="1"/>
  </r>
  <r>
    <s v="ORD20250242"/>
    <x v="156"/>
    <s v="Aug"/>
    <x v="2"/>
    <n v="2025"/>
    <x v="1"/>
    <x v="9"/>
    <x v="12"/>
    <s v="Retail Store"/>
    <s v="Corporate"/>
    <x v="7"/>
    <x v="0"/>
    <s v="Women"/>
    <x v="0"/>
    <n v="11"/>
    <n v="4309"/>
    <n v="0.1"/>
    <x v="241"/>
    <n v="24315.69"/>
    <n v="18343.41"/>
    <n v="0.43"/>
    <x v="3"/>
    <s v="Express"/>
    <n v="2"/>
    <x v="0"/>
  </r>
  <r>
    <s v="ORD20250243"/>
    <x v="149"/>
    <s v="Apr"/>
    <x v="3"/>
    <n v="2025"/>
    <x v="3"/>
    <x v="12"/>
    <x v="25"/>
    <s v="Online"/>
    <s v="Consumer"/>
    <x v="7"/>
    <x v="2"/>
    <s v="Chair"/>
    <x v="7"/>
    <n v="1"/>
    <n v="6142"/>
    <n v="0.09"/>
    <x v="242"/>
    <n v="4024.24"/>
    <n v="1564.98"/>
    <n v="0.28000000000000003"/>
    <x v="1"/>
    <s v="Express"/>
    <n v="2"/>
    <x v="1"/>
  </r>
  <r>
    <s v="ORD20250244"/>
    <x v="157"/>
    <s v="Aug"/>
    <x v="2"/>
    <n v="2025"/>
    <x v="3"/>
    <x v="13"/>
    <x v="21"/>
    <s v="Online"/>
    <s v="Consumer"/>
    <x v="3"/>
    <x v="3"/>
    <s v="Beverages"/>
    <x v="6"/>
    <n v="20"/>
    <n v="217"/>
    <n v="0.05"/>
    <x v="243"/>
    <n v="2721.18"/>
    <n v="1401.82"/>
    <n v="0.34"/>
    <x v="0"/>
    <s v="Standard"/>
    <n v="5"/>
    <x v="0"/>
  </r>
  <r>
    <s v="ORD20250245"/>
    <x v="50"/>
    <s v="Apr"/>
    <x v="3"/>
    <n v="2025"/>
    <x v="1"/>
    <x v="1"/>
    <x v="1"/>
    <s v="Online"/>
    <s v="Corporate"/>
    <x v="5"/>
    <x v="1"/>
    <s v="Mobile"/>
    <x v="12"/>
    <n v="3"/>
    <n v="28612"/>
    <n v="0.14000000000000001"/>
    <x v="244"/>
    <n v="60531.55"/>
    <n v="13287.41"/>
    <n v="0.18"/>
    <x v="2"/>
    <s v="Same Day"/>
    <n v="0"/>
    <x v="3"/>
  </r>
  <r>
    <s v="ORD20250246"/>
    <x v="158"/>
    <s v="Aug"/>
    <x v="2"/>
    <n v="2025"/>
    <x v="1"/>
    <x v="3"/>
    <x v="3"/>
    <s v="Retail Store"/>
    <s v="Consumer"/>
    <x v="1"/>
    <x v="0"/>
    <s v="Women"/>
    <x v="14"/>
    <n v="11"/>
    <n v="8163"/>
    <n v="7.0000000000000007E-2"/>
    <x v="245"/>
    <n v="52609.72"/>
    <n v="30897.77"/>
    <n v="0.37"/>
    <x v="0"/>
    <s v="Express"/>
    <n v="3"/>
    <x v="0"/>
  </r>
  <r>
    <s v="ORD20250247"/>
    <x v="74"/>
    <s v="Apr"/>
    <x v="3"/>
    <n v="2025"/>
    <x v="2"/>
    <x v="10"/>
    <x v="15"/>
    <s v="Retail Store"/>
    <s v="Home Office"/>
    <x v="5"/>
    <x v="1"/>
    <s v="Mobile"/>
    <x v="1"/>
    <n v="5"/>
    <n v="70152"/>
    <n v="0.08"/>
    <x v="246"/>
    <n v="283975.3"/>
    <n v="38723.9"/>
    <n v="0.12"/>
    <x v="3"/>
    <s v="Standard"/>
    <n v="5"/>
    <x v="0"/>
  </r>
  <r>
    <s v="ORD20250248"/>
    <x v="139"/>
    <s v="May"/>
    <x v="3"/>
    <n v="2025"/>
    <x v="2"/>
    <x v="4"/>
    <x v="9"/>
    <s v="Retail Store"/>
    <s v="Consumer"/>
    <x v="2"/>
    <x v="1"/>
    <s v="Laptop"/>
    <x v="17"/>
    <n v="1"/>
    <n v="56388"/>
    <n v="0.09"/>
    <x v="247"/>
    <n v="43102.99"/>
    <n v="8210.09"/>
    <n v="0.16"/>
    <x v="4"/>
    <s v="Standard"/>
    <n v="6"/>
    <x v="1"/>
  </r>
  <r>
    <s v="ORD20250249"/>
    <x v="32"/>
    <s v="Dec"/>
    <x v="1"/>
    <n v="2025"/>
    <x v="0"/>
    <x v="0"/>
    <x v="0"/>
    <s v="Retail Store"/>
    <s v="Home Office"/>
    <x v="5"/>
    <x v="1"/>
    <s v="Accessories"/>
    <x v="15"/>
    <n v="3"/>
    <n v="1521"/>
    <n v="0.02"/>
    <x v="248"/>
    <n v="3040.78"/>
    <n v="1430.96"/>
    <n v="0.32"/>
    <x v="4"/>
    <s v="Express"/>
    <n v="2"/>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20250001"/>
    <s v="2025-03-20"/>
    <s v="Mar"/>
    <s v="Q1"/>
    <n v="2025"/>
    <s v="East"/>
    <s v="Odisha"/>
    <s v="Bhubaneswar"/>
    <s v="Distributor"/>
    <s v="Consumer"/>
    <s v="Neha Verma"/>
    <s v="Clothing"/>
    <s v="Women"/>
    <s v="Western Dress"/>
    <n v="7"/>
    <n v="1900"/>
    <n v="0.08"/>
    <n v="12236"/>
    <n v="6974.52"/>
    <x v="0"/>
    <n v="0.43"/>
    <x v="0"/>
    <s v="Standard"/>
    <n v="7"/>
    <x v="0"/>
  </r>
  <r>
    <s v="ORD20250002"/>
    <s v="2025-03-11"/>
    <s v="Mar"/>
    <s v="Q1"/>
    <n v="2025"/>
    <s v="North"/>
    <s v="Rajasthan"/>
    <s v="Udaipur"/>
    <s v="Retail Store"/>
    <s v="Home Office"/>
    <s v="Amit Sharma"/>
    <s v="Electronics"/>
    <s v="Mobile"/>
    <s v="iPhone 14"/>
    <n v="4"/>
    <n v="64510"/>
    <n v="0.1"/>
    <n v="232236"/>
    <n v="204367.68"/>
    <x v="1"/>
    <n v="0.12"/>
    <x v="1"/>
    <s v="Express"/>
    <n v="3"/>
    <x v="0"/>
  </r>
  <r>
    <s v="ORD20250003"/>
    <s v="2025-12-02"/>
    <s v="Dec"/>
    <s v="Q4"/>
    <n v="2025"/>
    <s v="East"/>
    <s v="West Bengal"/>
    <s v="Kolkata"/>
    <s v="Distributor"/>
    <s v="Corporate"/>
    <s v="Sandeep Rao"/>
    <s v="Electronics"/>
    <s v="Laptop"/>
    <s v="HP Pavilion"/>
    <n v="2"/>
    <n v="59406"/>
    <n v="0.12"/>
    <n v="104554.56"/>
    <n v="88871.38"/>
    <x v="2"/>
    <n v="0.15"/>
    <x v="2"/>
    <s v="Standard"/>
    <n v="5"/>
    <x v="0"/>
  </r>
  <r>
    <s v="ORD20250004"/>
    <s v="2025-07-06"/>
    <s v="Jul"/>
    <s v="Q3"/>
    <n v="2025"/>
    <s v="North"/>
    <s v="Delhi"/>
    <s v="New Delhi"/>
    <s v="Retail Store"/>
    <s v="Consumer"/>
    <s v="Rohit Jain"/>
    <s v="Furniture"/>
    <s v="Table"/>
    <s v="Study Table"/>
    <n v="1"/>
    <n v="6477"/>
    <n v="0"/>
    <n v="6477"/>
    <n v="4598.67"/>
    <x v="3"/>
    <n v="0.28999999999999998"/>
    <x v="3"/>
    <s v="Express"/>
    <n v="3"/>
    <x v="0"/>
  </r>
  <r>
    <s v="ORD20250005"/>
    <s v="2025-12-02"/>
    <s v="Dec"/>
    <s v="Q4"/>
    <n v="2025"/>
    <s v="North"/>
    <s v="Delhi"/>
    <s v="New Delhi"/>
    <s v="Retail Store"/>
    <s v="Home Office"/>
    <s v="Sandeep Rao"/>
    <s v="Clothing"/>
    <s v="Men"/>
    <s v="Formal Shirt"/>
    <n v="5"/>
    <n v="2029"/>
    <n v="0.04"/>
    <n v="9739.2000000000007"/>
    <n v="5648.74"/>
    <x v="4"/>
    <n v="0.42"/>
    <x v="0"/>
    <s v="Standard"/>
    <n v="6"/>
    <x v="0"/>
  </r>
  <r>
    <s v="ORD20250006"/>
    <s v="2025-02-04"/>
    <s v="Feb"/>
    <s v="Q1"/>
    <n v="2025"/>
    <s v="North"/>
    <s v="Delhi"/>
    <s v="New Delhi"/>
    <s v="Retail Store"/>
    <s v="Home Office"/>
    <s v="Arjun Patel"/>
    <s v="Clothing"/>
    <s v="Men"/>
    <s v="Formal Shirt"/>
    <n v="2"/>
    <n v="1059"/>
    <n v="0.05"/>
    <n v="2012.1"/>
    <n v="1167.02"/>
    <x v="5"/>
    <n v="0.42"/>
    <x v="1"/>
    <s v="Same Day"/>
    <n v="0"/>
    <x v="1"/>
  </r>
  <r>
    <s v="ORD20250007"/>
    <s v="2025-12-22"/>
    <s v="Dec"/>
    <s v="Q4"/>
    <n v="2025"/>
    <s v="West"/>
    <s v="Maharashtra"/>
    <s v="Pune"/>
    <s v="Online"/>
    <s v="Consumer"/>
    <s v="Pooja Singh"/>
    <s v="Clothing"/>
    <s v="Men"/>
    <s v="Formal Shirt"/>
    <n v="12"/>
    <n v="1594"/>
    <n v="0.13"/>
    <n v="16641.36"/>
    <n v="9651.99"/>
    <x v="6"/>
    <n v="0.42"/>
    <x v="0"/>
    <s v="Same Day"/>
    <n v="0"/>
    <x v="1"/>
  </r>
  <r>
    <s v="ORD20250008"/>
    <s v="2025-06-22"/>
    <s v="Jun"/>
    <s v="Q2"/>
    <n v="2025"/>
    <s v="South"/>
    <s v="Telangana"/>
    <s v="Hyderabad"/>
    <s v="Retail Store"/>
    <s v="Consumer"/>
    <s v="Rohit Jain"/>
    <s v="Grocery"/>
    <s v="Snacks"/>
    <s v="Potato Chips Combo"/>
    <n v="9"/>
    <n v="148"/>
    <n v="0.02"/>
    <n v="1305.3599999999999"/>
    <n v="835.43"/>
    <x v="7"/>
    <n v="0.36"/>
    <x v="4"/>
    <s v="Same Day"/>
    <n v="0"/>
    <x v="2"/>
  </r>
  <r>
    <s v="ORD20250009"/>
    <s v="2025-10-03"/>
    <s v="Oct"/>
    <s v="Q4"/>
    <n v="2025"/>
    <s v="North"/>
    <s v="Punjab"/>
    <s v="Ludhiana"/>
    <s v="Retail Store"/>
    <s v="Corporate"/>
    <s v="Pooja Singh"/>
    <s v="Electronics"/>
    <s v="Mobile"/>
    <s v="iPhone 14"/>
    <n v="6"/>
    <n v="63087"/>
    <n v="0.03"/>
    <n v="367166.34"/>
    <n v="323106.38"/>
    <x v="8"/>
    <n v="0.12"/>
    <x v="1"/>
    <s v="Standard"/>
    <n v="4"/>
    <x v="1"/>
  </r>
  <r>
    <s v="ORD20250010"/>
    <s v="2025-10-03"/>
    <s v="Oct"/>
    <s v="Q4"/>
    <n v="2025"/>
    <s v="East"/>
    <s v="West Bengal"/>
    <s v="Kolkata"/>
    <s v="Distributor"/>
    <s v="Consumer"/>
    <s v="Pooja Singh"/>
    <s v="Grocery"/>
    <s v="Beverages"/>
    <s v="Premium Tea Pack"/>
    <n v="27"/>
    <n v="239"/>
    <n v="0.18"/>
    <n v="5291.46"/>
    <n v="3492.36"/>
    <x v="9"/>
    <n v="0.34"/>
    <x v="0"/>
    <s v="Standard"/>
    <n v="6"/>
    <x v="0"/>
  </r>
  <r>
    <s v="ORD20250011"/>
    <s v="2025-04-30"/>
    <s v="May"/>
    <s v="Q2"/>
    <n v="2025"/>
    <s v="South"/>
    <s v="Karnataka"/>
    <s v="Bengaluru"/>
    <s v="Distributor"/>
    <s v="Home Office"/>
    <s v="Rahul Mehta"/>
    <s v="Furniture"/>
    <s v="Chair"/>
    <s v="Office Chair"/>
    <n v="2"/>
    <n v="7251"/>
    <n v="0.08"/>
    <n v="13341.84"/>
    <n v="9606.1200000000008"/>
    <x v="10"/>
    <n v="0.28000000000000003"/>
    <x v="0"/>
    <s v="Same Day"/>
    <n v="0"/>
    <x v="3"/>
  </r>
  <r>
    <s v="ORD20250012"/>
    <s v="2025-03-01"/>
    <s v="Mar"/>
    <s v="Q1"/>
    <n v="2025"/>
    <s v="East"/>
    <s v="Odisha"/>
    <s v="Cuttack"/>
    <s v="Online"/>
    <s v="Consumer"/>
    <s v="Neha Verma"/>
    <s v="Electronics"/>
    <s v="Accessories"/>
    <s v="Mechanical Keyboard"/>
    <n v="6"/>
    <n v="2301"/>
    <n v="0.06"/>
    <n v="12977.64"/>
    <n v="9084.35"/>
    <x v="11"/>
    <n v="0.3"/>
    <x v="2"/>
    <s v="Same Day"/>
    <n v="0"/>
    <x v="0"/>
  </r>
  <r>
    <s v="ORD20250013"/>
    <s v="2025-07-13"/>
    <s v="Jul"/>
    <s v="Q3"/>
    <n v="2025"/>
    <s v="South"/>
    <s v="Telangana"/>
    <s v="Hyderabad"/>
    <s v="Distributor"/>
    <s v="Consumer"/>
    <s v="Kavya Iyer"/>
    <s v="Grocery"/>
    <s v="Beverages"/>
    <s v="Instant Coffee Jar"/>
    <n v="10"/>
    <n v="361"/>
    <n v="0.16"/>
    <n v="3032.4"/>
    <n v="2031.71"/>
    <x v="12"/>
    <n v="0.33"/>
    <x v="3"/>
    <s v="Express"/>
    <n v="3"/>
    <x v="2"/>
  </r>
  <r>
    <s v="ORD20250014"/>
    <s v="2025-11-02"/>
    <s v="Nov"/>
    <s v="Q4"/>
    <n v="2025"/>
    <s v="South"/>
    <s v="Telangana"/>
    <s v="Hyderabad"/>
    <s v="Online"/>
    <s v="Home Office"/>
    <s v="Rohit Jain"/>
    <s v="Furniture"/>
    <s v="Chair"/>
    <s v="Gaming Chair"/>
    <n v="3"/>
    <n v="10256"/>
    <n v="0.1"/>
    <n v="27691.200000000001"/>
    <n v="20491.490000000002"/>
    <x v="13"/>
    <n v="0.26"/>
    <x v="0"/>
    <s v="Same Day"/>
    <n v="0"/>
    <x v="0"/>
  </r>
  <r>
    <s v="ORD20250015"/>
    <s v="2025-03-21"/>
    <s v="Mar"/>
    <s v="Q1"/>
    <n v="2025"/>
    <s v="South"/>
    <s v="Telangana"/>
    <s v="Hyderabad"/>
    <s v="Retail Store"/>
    <s v="Consumer"/>
    <s v="Kavya Iyer"/>
    <s v="Furniture"/>
    <s v="Table"/>
    <s v="Dining Table"/>
    <n v="1"/>
    <n v="18574"/>
    <n v="0.09"/>
    <n v="16902.34"/>
    <n v="12845.78"/>
    <x v="14"/>
    <n v="0.24"/>
    <x v="4"/>
    <s v="Express"/>
    <n v="1"/>
    <x v="3"/>
  </r>
  <r>
    <s v="ORD20250016"/>
    <s v="2025-02-16"/>
    <s v="Feb"/>
    <s v="Q1"/>
    <n v="2025"/>
    <s v="West"/>
    <s v="Maharashtra"/>
    <s v="Mumbai"/>
    <s v="Distributor"/>
    <s v="Corporate"/>
    <s v="Simran Kaur"/>
    <s v="Electronics"/>
    <s v="Mobile"/>
    <s v="Samsung Galaxy A54"/>
    <n v="6"/>
    <n v="22878"/>
    <n v="0.14000000000000001"/>
    <n v="118050.48"/>
    <n v="96801.39"/>
    <x v="15"/>
    <n v="0.18"/>
    <x v="0"/>
    <s v="Express"/>
    <n v="2"/>
    <x v="2"/>
  </r>
  <r>
    <s v="ORD20250017"/>
    <s v="2025-02-07"/>
    <s v="Feb"/>
    <s v="Q1"/>
    <n v="2025"/>
    <s v="West"/>
    <s v="Goa"/>
    <s v="Panaji"/>
    <s v="Retail Store"/>
    <s v="Home Office"/>
    <s v="Rahul Mehta"/>
    <s v="Clothing"/>
    <s v="Men"/>
    <s v="Denim Jeans"/>
    <n v="10"/>
    <n v="2109"/>
    <n v="0.01"/>
    <n v="20879.099999999999"/>
    <n v="12527.46"/>
    <x v="16"/>
    <n v="0.4"/>
    <x v="1"/>
    <s v="Express"/>
    <n v="2"/>
    <x v="0"/>
  </r>
  <r>
    <s v="ORD20250018"/>
    <s v="2025-09-23"/>
    <s v="Sep"/>
    <s v="Q3"/>
    <n v="2025"/>
    <s v="North"/>
    <s v="Delhi"/>
    <s v="New Delhi"/>
    <s v="Distributor"/>
    <s v="Consumer"/>
    <s v="Amit Sharma"/>
    <s v="Clothing"/>
    <s v="Women"/>
    <s v="Western Dress"/>
    <n v="2"/>
    <n v="3189"/>
    <n v="0.14000000000000001"/>
    <n v="5485.08"/>
    <n v="3126.5"/>
    <x v="17"/>
    <n v="0.43"/>
    <x v="2"/>
    <s v="Express"/>
    <n v="1"/>
    <x v="0"/>
  </r>
  <r>
    <s v="ORD20250019"/>
    <s v="2025-06-06"/>
    <s v="Jun"/>
    <s v="Q2"/>
    <n v="2025"/>
    <s v="East"/>
    <s v="Odisha"/>
    <s v="Bhubaneswar"/>
    <s v="Distributor"/>
    <s v="Consumer"/>
    <s v="Priya Nair"/>
    <s v="Furniture"/>
    <s v="Table"/>
    <s v="Dining Table"/>
    <n v="2"/>
    <n v="22990"/>
    <n v="0.09"/>
    <n v="41841.800000000003"/>
    <n v="31799.77"/>
    <x v="18"/>
    <n v="0.24"/>
    <x v="0"/>
    <s v="Same Day"/>
    <n v="0"/>
    <x v="0"/>
  </r>
  <r>
    <s v="ORD20250020"/>
    <s v="2025-04-19"/>
    <s v="Apr"/>
    <s v="Q2"/>
    <n v="2025"/>
    <s v="North"/>
    <s v="Punjab"/>
    <s v="Amritsar"/>
    <s v="Online"/>
    <s v="Consumer"/>
    <s v="Simran Kaur"/>
    <s v="Clothing"/>
    <s v="Men"/>
    <s v="Denim Jeans"/>
    <n v="9"/>
    <n v="2013"/>
    <n v="0.13"/>
    <n v="15761.79"/>
    <n v="9457.07"/>
    <x v="19"/>
    <n v="0.4"/>
    <x v="3"/>
    <s v="Express"/>
    <n v="2"/>
    <x v="2"/>
  </r>
  <r>
    <s v="ORD20250021"/>
    <s v="2025-12-20"/>
    <s v="Dec"/>
    <s v="Q4"/>
    <n v="2025"/>
    <s v="North"/>
    <s v="Uttar Pradesh"/>
    <s v="Kanpur"/>
    <s v="Retail Store"/>
    <s v="Corporate"/>
    <s v="Kavya Iyer"/>
    <s v="Furniture"/>
    <s v="Table"/>
    <s v="Study Table"/>
    <n v="1"/>
    <n v="6658"/>
    <n v="7.0000000000000007E-2"/>
    <n v="6191.94"/>
    <n v="4396.28"/>
    <x v="20"/>
    <n v="0.28999999999999998"/>
    <x v="4"/>
    <s v="Same Day"/>
    <n v="0"/>
    <x v="0"/>
  </r>
  <r>
    <s v="ORD20250022"/>
    <s v="2025-04-01"/>
    <s v="Apr"/>
    <s v="Q2"/>
    <n v="2025"/>
    <s v="North"/>
    <s v="Uttar Pradesh"/>
    <s v="Kanpur"/>
    <s v="Retail Store"/>
    <s v="Corporate"/>
    <s v="Neha Verma"/>
    <s v="Grocery"/>
    <s v="Snacks"/>
    <s v="Potato Chips Combo"/>
    <n v="11"/>
    <n v="82"/>
    <n v="0.08"/>
    <n v="829.84"/>
    <n v="531.1"/>
    <x v="21"/>
    <n v="0.36"/>
    <x v="1"/>
    <s v="Express"/>
    <n v="2"/>
    <x v="0"/>
  </r>
  <r>
    <s v="ORD20250023"/>
    <s v="2025-02-25"/>
    <s v="Feb"/>
    <s v="Q1"/>
    <n v="2025"/>
    <s v="East"/>
    <s v="Odisha"/>
    <s v="Bhubaneswar"/>
    <s v="Retail Store"/>
    <s v="Consumer"/>
    <s v="Sandeep Rao"/>
    <s v="Electronics"/>
    <s v="Mobile"/>
    <s v="iPhone 14"/>
    <n v="1"/>
    <n v="70297"/>
    <n v="7.0000000000000007E-2"/>
    <n v="65376.21"/>
    <n v="57531.06"/>
    <x v="22"/>
    <n v="0.12"/>
    <x v="2"/>
    <s v="Same Day"/>
    <n v="0"/>
    <x v="0"/>
  </r>
  <r>
    <s v="ORD20250024"/>
    <s v="2025-11-03"/>
    <s v="Nov"/>
    <s v="Q4"/>
    <n v="2025"/>
    <s v="East"/>
    <s v="West Bengal"/>
    <s v="Siliguri"/>
    <s v="Online"/>
    <s v="Consumer"/>
    <s v="Sandeep Rao"/>
    <s v="Clothing"/>
    <s v="Women"/>
    <s v="Western Dress"/>
    <n v="8"/>
    <n v="2005"/>
    <n v="7.0000000000000007E-2"/>
    <n v="14917.2"/>
    <n v="8502.7999999999993"/>
    <x v="23"/>
    <n v="0.43"/>
    <x v="3"/>
    <s v="Same Day"/>
    <n v="0"/>
    <x v="2"/>
  </r>
  <r>
    <s v="ORD20250025"/>
    <s v="2025-11-18"/>
    <s v="Nov"/>
    <s v="Q4"/>
    <n v="2025"/>
    <s v="West"/>
    <s v="Goa"/>
    <s v="Panaji"/>
    <s v="Online"/>
    <s v="Consumer"/>
    <s v="Neha Verma"/>
    <s v="Furniture"/>
    <s v="Table"/>
    <s v="Dining Table"/>
    <n v="1"/>
    <n v="21134"/>
    <n v="0.08"/>
    <n v="19443.28"/>
    <n v="14776.89"/>
    <x v="24"/>
    <n v="0.24"/>
    <x v="1"/>
    <s v="Standard"/>
    <n v="3"/>
    <x v="3"/>
  </r>
  <r>
    <s v="ORD20250026"/>
    <s v="2025-12-02"/>
    <s v="Dec"/>
    <s v="Q4"/>
    <n v="2025"/>
    <s v="West"/>
    <s v="Maharashtra"/>
    <s v="Nagpur"/>
    <s v="Distributor"/>
    <s v="Corporate"/>
    <s v="Rohit Jain"/>
    <s v="Furniture"/>
    <s v="Table"/>
    <s v="Study Table"/>
    <n v="1"/>
    <n v="6196"/>
    <n v="0.15"/>
    <n v="5266.6"/>
    <n v="3739.29"/>
    <x v="25"/>
    <n v="0.28999999999999998"/>
    <x v="1"/>
    <s v="Standard"/>
    <n v="3"/>
    <x v="0"/>
  </r>
  <r>
    <s v="ORD20250027"/>
    <s v="2025-02-01"/>
    <s v="Feb"/>
    <s v="Q1"/>
    <n v="2025"/>
    <s v="West"/>
    <s v="Gujarat"/>
    <s v="Surat"/>
    <s v="Online"/>
    <s v="Consumer"/>
    <s v="Simran Kaur"/>
    <s v="Clothing"/>
    <s v="Women"/>
    <s v="Silk Saree"/>
    <n v="2"/>
    <n v="7003"/>
    <n v="0.14000000000000001"/>
    <n v="12045.16"/>
    <n v="7588.45"/>
    <x v="26"/>
    <n v="0.37"/>
    <x v="3"/>
    <s v="Standard"/>
    <n v="3"/>
    <x v="1"/>
  </r>
  <r>
    <s v="ORD20250028"/>
    <s v="2025-04-03"/>
    <s v="Apr"/>
    <s v="Q2"/>
    <n v="2025"/>
    <s v="East"/>
    <s v="Bihar"/>
    <s v="Patna"/>
    <s v="Online"/>
    <s v="Corporate"/>
    <s v="Rahul Mehta"/>
    <s v="Electronics"/>
    <s v="Mobile"/>
    <s v="Samsung Galaxy A54"/>
    <n v="3"/>
    <n v="22366"/>
    <n v="7.0000000000000007E-2"/>
    <n v="62401.14"/>
    <n v="51168.93"/>
    <x v="27"/>
    <n v="0.18"/>
    <x v="2"/>
    <s v="Express"/>
    <n v="3"/>
    <x v="1"/>
  </r>
  <r>
    <s v="ORD20250029"/>
    <s v="2025-01-22"/>
    <s v="Jan"/>
    <s v="Q1"/>
    <n v="2025"/>
    <s v="West"/>
    <s v="Goa"/>
    <s v="Panaji"/>
    <s v="Online"/>
    <s v="Corporate"/>
    <s v="Neha Verma"/>
    <s v="Electronics"/>
    <s v="Laptop"/>
    <s v="HP Pavilion"/>
    <n v="1"/>
    <n v="64519"/>
    <n v="0.12"/>
    <n v="56776.72"/>
    <n v="48260.21"/>
    <x v="28"/>
    <n v="0.15"/>
    <x v="3"/>
    <s v="Express"/>
    <n v="3"/>
    <x v="0"/>
  </r>
  <r>
    <s v="ORD20250030"/>
    <s v="2025-06-10"/>
    <s v="Jun"/>
    <s v="Q2"/>
    <n v="2025"/>
    <s v="North"/>
    <s v="Punjab"/>
    <s v="Amritsar"/>
    <s v="Retail Store"/>
    <s v="Corporate"/>
    <s v="Rohit Jain"/>
    <s v="Clothing"/>
    <s v="Women"/>
    <s v="Silk Saree"/>
    <n v="2"/>
    <n v="7882"/>
    <n v="0.06"/>
    <n v="14818.16"/>
    <n v="9335.44"/>
    <x v="29"/>
    <n v="0.37"/>
    <x v="0"/>
    <s v="Same Day"/>
    <n v="0"/>
    <x v="2"/>
  </r>
  <r>
    <s v="ORD20250031"/>
    <s v="2025-04-01"/>
    <s v="Apr"/>
    <s v="Q2"/>
    <n v="2025"/>
    <s v="South"/>
    <s v="Karnataka"/>
    <s v="Mysuru"/>
    <s v="Distributor"/>
    <s v="Corporate"/>
    <s v="Arjun Patel"/>
    <s v="Electronics"/>
    <s v="Mobile"/>
    <s v="Samsung Galaxy A54"/>
    <n v="4"/>
    <n v="23806"/>
    <n v="0.16"/>
    <n v="79988.160000000003"/>
    <n v="65590.289999999994"/>
    <x v="30"/>
    <n v="0.18"/>
    <x v="1"/>
    <s v="Same Day"/>
    <n v="0"/>
    <x v="3"/>
  </r>
  <r>
    <s v="ORD20250032"/>
    <s v="2025-05-26"/>
    <s v="May"/>
    <s v="Q2"/>
    <n v="2025"/>
    <s v="South"/>
    <s v="Telangana"/>
    <s v="Hyderabad"/>
    <s v="Distributor"/>
    <s v="Corporate"/>
    <s v="Simran Kaur"/>
    <s v="Grocery"/>
    <s v="Beverages"/>
    <s v="Instant Coffee Jar"/>
    <n v="16"/>
    <n v="305"/>
    <n v="0.11"/>
    <n v="4343.2"/>
    <n v="2909.94"/>
    <x v="31"/>
    <n v="0.33"/>
    <x v="4"/>
    <s v="Standard"/>
    <n v="6"/>
    <x v="1"/>
  </r>
  <r>
    <s v="ORD20250033"/>
    <s v="2025-07-07"/>
    <s v="Jul"/>
    <s v="Q3"/>
    <n v="2025"/>
    <s v="North"/>
    <s v="Punjab"/>
    <s v="Amritsar"/>
    <s v="Online"/>
    <s v="Corporate"/>
    <s v="Rohit Jain"/>
    <s v="Electronics"/>
    <s v="Laptop"/>
    <s v="HP Pavilion"/>
    <n v="5"/>
    <n v="56621"/>
    <n v="0.15"/>
    <n v="240639.25"/>
    <n v="204543.35999999999"/>
    <x v="32"/>
    <n v="0.15"/>
    <x v="2"/>
    <s v="Same Day"/>
    <n v="0"/>
    <x v="0"/>
  </r>
  <r>
    <s v="ORD20250034"/>
    <s v="2025-06-12"/>
    <s v="Jun"/>
    <s v="Q2"/>
    <n v="2025"/>
    <s v="West"/>
    <s v="Maharashtra"/>
    <s v="Nagpur"/>
    <s v="Distributor"/>
    <s v="Corporate"/>
    <s v="Kavya Iyer"/>
    <s v="Clothing"/>
    <s v="Men"/>
    <s v="Denim Jeans"/>
    <n v="5"/>
    <n v="1435"/>
    <n v="0.09"/>
    <n v="6529.25"/>
    <n v="3917.55"/>
    <x v="33"/>
    <n v="0.4"/>
    <x v="2"/>
    <s v="Standard"/>
    <n v="3"/>
    <x v="0"/>
  </r>
  <r>
    <s v="ORD20250035"/>
    <s v="2025-01-27"/>
    <s v="Jan"/>
    <s v="Q1"/>
    <n v="2025"/>
    <s v="West"/>
    <s v="Gujarat"/>
    <s v="Ahmedabad"/>
    <s v="Retail Store"/>
    <s v="Home Office"/>
    <s v="Sandeep Rao"/>
    <s v="Furniture"/>
    <s v="Chair"/>
    <s v="Gaming Chair"/>
    <n v="2"/>
    <n v="14099"/>
    <n v="0.1"/>
    <n v="25378.2"/>
    <n v="18779.87"/>
    <x v="34"/>
    <n v="0.26"/>
    <x v="1"/>
    <s v="Express"/>
    <n v="3"/>
    <x v="0"/>
  </r>
  <r>
    <s v="ORD20250036"/>
    <s v="2025-07-31"/>
    <s v="Aug"/>
    <s v="Q3"/>
    <n v="2025"/>
    <s v="North"/>
    <s v="Punjab"/>
    <s v="Amritsar"/>
    <s v="Distributor"/>
    <s v="Corporate"/>
    <s v="Rahul Mehta"/>
    <s v="Electronics"/>
    <s v="Mobile"/>
    <s v="Samsung Galaxy A54"/>
    <n v="2"/>
    <n v="30555"/>
    <n v="0.09"/>
    <n v="55610.1"/>
    <n v="45600.28"/>
    <x v="35"/>
    <n v="0.18"/>
    <x v="1"/>
    <s v="Express"/>
    <n v="3"/>
    <x v="0"/>
  </r>
  <r>
    <s v="ORD20250037"/>
    <s v="2025-12-08"/>
    <s v="Dec"/>
    <s v="Q4"/>
    <n v="2025"/>
    <s v="East"/>
    <s v="West Bengal"/>
    <s v="Siliguri"/>
    <s v="Distributor"/>
    <s v="Corporate"/>
    <s v="Arjun Patel"/>
    <s v="Electronics"/>
    <s v="Accessories"/>
    <s v="Mechanical Keyboard"/>
    <n v="2"/>
    <n v="2294"/>
    <n v="0.17"/>
    <n v="3808.04"/>
    <n v="2665.63"/>
    <x v="36"/>
    <n v="0.3"/>
    <x v="3"/>
    <s v="Standard"/>
    <n v="7"/>
    <x v="0"/>
  </r>
  <r>
    <s v="ORD20250038"/>
    <s v="2025-01-09"/>
    <s v="Jan"/>
    <s v="Q1"/>
    <n v="2025"/>
    <s v="South"/>
    <s v="Kerala"/>
    <s v="Thiruvananthapuram"/>
    <s v="Retail Store"/>
    <s v="Consumer"/>
    <s v="Amit Sharma"/>
    <s v="Clothing"/>
    <s v="Women"/>
    <s v="Western Dress"/>
    <n v="6"/>
    <n v="3475"/>
    <n v="0.02"/>
    <n v="20433"/>
    <n v="11646.81"/>
    <x v="37"/>
    <n v="0.43"/>
    <x v="4"/>
    <s v="Same Day"/>
    <n v="0"/>
    <x v="3"/>
  </r>
  <r>
    <s v="ORD20250039"/>
    <s v="2025-02-25"/>
    <s v="Feb"/>
    <s v="Q1"/>
    <n v="2025"/>
    <s v="West"/>
    <s v="Gujarat"/>
    <s v="Surat"/>
    <s v="Online"/>
    <s v="Consumer"/>
    <s v="Arjun Patel"/>
    <s v="Electronics"/>
    <s v="Accessories"/>
    <s v="Mechanical Keyboard"/>
    <n v="5"/>
    <n v="3445"/>
    <n v="0.14000000000000001"/>
    <n v="14813.5"/>
    <n v="10369.450000000001"/>
    <x v="38"/>
    <n v="0.3"/>
    <x v="2"/>
    <s v="Same Day"/>
    <n v="0"/>
    <x v="0"/>
  </r>
  <r>
    <s v="ORD20250040"/>
    <s v="2025-04-09"/>
    <s v="Apr"/>
    <s v="Q2"/>
    <n v="2025"/>
    <s v="West"/>
    <s v="Goa"/>
    <s v="Panaji"/>
    <s v="Distributor"/>
    <s v="Consumer"/>
    <s v="Priya Nair"/>
    <s v="Clothing"/>
    <s v="Men"/>
    <s v="Formal Shirt"/>
    <n v="12"/>
    <n v="1512"/>
    <n v="0.18"/>
    <n v="14878.08"/>
    <n v="8629.2900000000009"/>
    <x v="39"/>
    <n v="0.42"/>
    <x v="2"/>
    <s v="Same Day"/>
    <n v="0"/>
    <x v="0"/>
  </r>
  <r>
    <s v="ORD20250041"/>
    <s v="2025-08-22"/>
    <s v="Aug"/>
    <s v="Q3"/>
    <n v="2025"/>
    <s v="West"/>
    <s v="Goa"/>
    <s v="Panaji"/>
    <s v="Online"/>
    <s v="Consumer"/>
    <s v="Neha Verma"/>
    <s v="Electronics"/>
    <s v="Accessories"/>
    <s v="Mechanical Keyboard"/>
    <n v="1"/>
    <n v="2176"/>
    <n v="7.0000000000000007E-2"/>
    <n v="2023.68"/>
    <n v="1416.58"/>
    <x v="40"/>
    <n v="0.3"/>
    <x v="4"/>
    <s v="Express"/>
    <n v="1"/>
    <x v="0"/>
  </r>
  <r>
    <s v="ORD20250042"/>
    <s v="2025-04-07"/>
    <s v="Apr"/>
    <s v="Q2"/>
    <n v="2025"/>
    <s v="North"/>
    <s v="Punjab"/>
    <s v="Ludhiana"/>
    <s v="Online"/>
    <s v="Home Office"/>
    <s v="Arjun Patel"/>
    <s v="Grocery"/>
    <s v="Snacks"/>
    <s v="Potato Chips Combo"/>
    <n v="15"/>
    <n v="93"/>
    <n v="7.0000000000000007E-2"/>
    <n v="1297.3499999999999"/>
    <n v="830.3"/>
    <x v="41"/>
    <n v="0.36"/>
    <x v="1"/>
    <s v="Standard"/>
    <n v="4"/>
    <x v="3"/>
  </r>
  <r>
    <s v="ORD20250043"/>
    <s v="2025-02-13"/>
    <s v="Feb"/>
    <s v="Q1"/>
    <n v="2025"/>
    <s v="North"/>
    <s v="Uttar Pradesh"/>
    <s v="Kanpur"/>
    <s v="Online"/>
    <s v="Consumer"/>
    <s v="Pooja Singh"/>
    <s v="Furniture"/>
    <s v="Table"/>
    <s v="Study Table"/>
    <n v="1"/>
    <n v="7682"/>
    <n v="0.05"/>
    <n v="7297.9"/>
    <n v="5181.51"/>
    <x v="42"/>
    <n v="0.28999999999999998"/>
    <x v="3"/>
    <s v="Express"/>
    <n v="2"/>
    <x v="3"/>
  </r>
  <r>
    <s v="ORD20250044"/>
    <s v="2025-03-12"/>
    <s v="Mar"/>
    <s v="Q1"/>
    <n v="2025"/>
    <s v="East"/>
    <s v="Bihar"/>
    <s v="Patna"/>
    <s v="Distributor"/>
    <s v="Corporate"/>
    <s v="Neha Verma"/>
    <s v="Electronics"/>
    <s v="Accessories"/>
    <s v="Wireless Mouse"/>
    <n v="3"/>
    <n v="1107"/>
    <n v="0.09"/>
    <n v="3022.11"/>
    <n v="2055.0300000000002"/>
    <x v="43"/>
    <n v="0.32"/>
    <x v="4"/>
    <s v="Standard"/>
    <n v="3"/>
    <x v="0"/>
  </r>
  <r>
    <s v="ORD20250045"/>
    <s v="2025-05-24"/>
    <s v="May"/>
    <s v="Q2"/>
    <n v="2025"/>
    <s v="South"/>
    <s v="Telangana"/>
    <s v="Hyderabad"/>
    <s v="Online"/>
    <s v="Home Office"/>
    <s v="Rohit Jain"/>
    <s v="Furniture"/>
    <s v="Chair"/>
    <s v="Office Chair"/>
    <n v="1"/>
    <n v="6510"/>
    <n v="0.05"/>
    <n v="6184.5"/>
    <n v="4452.84"/>
    <x v="44"/>
    <n v="0.28000000000000003"/>
    <x v="1"/>
    <s v="Express"/>
    <n v="3"/>
    <x v="3"/>
  </r>
  <r>
    <s v="ORD20250046"/>
    <s v="2025-07-02"/>
    <s v="Jul"/>
    <s v="Q3"/>
    <n v="2025"/>
    <s v="East"/>
    <s v="Odisha"/>
    <s v="Cuttack"/>
    <s v="Retail Store"/>
    <s v="Home Office"/>
    <s v="Kavya Iyer"/>
    <s v="Clothing"/>
    <s v="Men"/>
    <s v="Formal Shirt"/>
    <n v="5"/>
    <n v="1490"/>
    <n v="0.1"/>
    <n v="6705"/>
    <n v="3888.9"/>
    <x v="45"/>
    <n v="0.42"/>
    <x v="1"/>
    <s v="Express"/>
    <n v="2"/>
    <x v="0"/>
  </r>
  <r>
    <s v="ORD20250047"/>
    <s v="2025-03-07"/>
    <s v="Mar"/>
    <s v="Q1"/>
    <n v="2025"/>
    <s v="West"/>
    <s v="Gujarat"/>
    <s v="Ahmedabad"/>
    <s v="Distributor"/>
    <s v="Corporate"/>
    <s v="Amit Sharma"/>
    <s v="Clothing"/>
    <s v="Men"/>
    <s v="Denim Jeans"/>
    <n v="6"/>
    <n v="1402"/>
    <n v="0.1"/>
    <n v="7570.8"/>
    <n v="4542.4799999999996"/>
    <x v="46"/>
    <n v="0.4"/>
    <x v="3"/>
    <s v="Standard"/>
    <n v="4"/>
    <x v="1"/>
  </r>
  <r>
    <s v="ORD20250048"/>
    <s v="2025-05-15"/>
    <s v="May"/>
    <s v="Q2"/>
    <n v="2025"/>
    <s v="West"/>
    <s v="Goa"/>
    <s v="Panaji"/>
    <s v="Online"/>
    <s v="Home Office"/>
    <s v="Priya Nair"/>
    <s v="Clothing"/>
    <s v="Women"/>
    <s v="Silk Saree"/>
    <n v="12"/>
    <n v="5408"/>
    <n v="0.11"/>
    <n v="57757.440000000002"/>
    <n v="36387.19"/>
    <x v="47"/>
    <n v="0.37"/>
    <x v="3"/>
    <s v="Same Day"/>
    <n v="0"/>
    <x v="0"/>
  </r>
  <r>
    <s v="ORD20250049"/>
    <s v="2025-05-26"/>
    <s v="May"/>
    <s v="Q2"/>
    <n v="2025"/>
    <s v="West"/>
    <s v="Gujarat"/>
    <s v="Surat"/>
    <s v="Online"/>
    <s v="Corporate"/>
    <s v="Simran Kaur"/>
    <s v="Grocery"/>
    <s v="Snacks"/>
    <s v="Butter Biscuits"/>
    <n v="13"/>
    <n v="107"/>
    <n v="0.15"/>
    <n v="1182.3499999999999"/>
    <n v="733.06"/>
    <x v="48"/>
    <n v="0.38"/>
    <x v="3"/>
    <s v="Standard"/>
    <n v="6"/>
    <x v="0"/>
  </r>
  <r>
    <s v="ORD20250050"/>
    <s v="2025-07-25"/>
    <s v="Jul"/>
    <s v="Q3"/>
    <n v="2025"/>
    <s v="North"/>
    <s v="Rajasthan"/>
    <s v="Udaipur"/>
    <s v="Retail Store"/>
    <s v="Home Office"/>
    <s v="Simran Kaur"/>
    <s v="Clothing"/>
    <s v="Women"/>
    <s v="Western Dress"/>
    <n v="11"/>
    <n v="3216"/>
    <n v="0"/>
    <n v="35376"/>
    <n v="20164.32"/>
    <x v="49"/>
    <n v="0.43"/>
    <x v="1"/>
    <s v="Same Day"/>
    <n v="0"/>
    <x v="0"/>
  </r>
  <r>
    <s v="ORD20250051"/>
    <s v="2025-05-26"/>
    <s v="May"/>
    <s v="Q2"/>
    <n v="2025"/>
    <s v="East"/>
    <s v="Odisha"/>
    <s v="Bhubaneswar"/>
    <s v="Retail Store"/>
    <s v="Consumer"/>
    <s v="Rahul Mehta"/>
    <s v="Clothing"/>
    <s v="Men"/>
    <s v="Formal Shirt"/>
    <n v="7"/>
    <n v="1968"/>
    <n v="0.03"/>
    <n v="13362.72"/>
    <n v="7750.38"/>
    <x v="50"/>
    <n v="0.42"/>
    <x v="0"/>
    <s v="Express"/>
    <n v="3"/>
    <x v="1"/>
  </r>
  <r>
    <s v="ORD20250052"/>
    <s v="2025-08-18"/>
    <s v="Aug"/>
    <s v="Q3"/>
    <n v="2025"/>
    <s v="North"/>
    <s v="Rajasthan"/>
    <s v="Jaipur"/>
    <s v="Online"/>
    <s v="Corporate"/>
    <s v="Simran Kaur"/>
    <s v="Clothing"/>
    <s v="Men"/>
    <s v="Formal Shirt"/>
    <n v="3"/>
    <n v="1388"/>
    <n v="0.05"/>
    <n v="3955.8"/>
    <n v="2294.36"/>
    <x v="51"/>
    <n v="0.42"/>
    <x v="0"/>
    <s v="Express"/>
    <n v="3"/>
    <x v="0"/>
  </r>
  <r>
    <s v="ORD20250053"/>
    <s v="2025-10-21"/>
    <s v="Oct"/>
    <s v="Q4"/>
    <n v="2025"/>
    <s v="West"/>
    <s v="Gujarat"/>
    <s v="Surat"/>
    <s v="Retail Store"/>
    <s v="Consumer"/>
    <s v="Priya Nair"/>
    <s v="Electronics"/>
    <s v="Laptop"/>
    <s v="Dell Inspiron 15"/>
    <n v="3"/>
    <n v="56019"/>
    <n v="0.05"/>
    <n v="159654.15"/>
    <n v="134109.49"/>
    <x v="52"/>
    <n v="0.16"/>
    <x v="4"/>
    <s v="Express"/>
    <n v="3"/>
    <x v="1"/>
  </r>
  <r>
    <s v="ORD20250054"/>
    <s v="2025-05-08"/>
    <s v="May"/>
    <s v="Q2"/>
    <n v="2025"/>
    <s v="East"/>
    <s v="West Bengal"/>
    <s v="Kolkata"/>
    <s v="Online"/>
    <s v="Corporate"/>
    <s v="Amit Sharma"/>
    <s v="Furniture"/>
    <s v="Table"/>
    <s v="Study Table"/>
    <n v="2"/>
    <n v="8737"/>
    <n v="0.15"/>
    <n v="14852.9"/>
    <n v="10545.56"/>
    <x v="53"/>
    <n v="0.28999999999999998"/>
    <x v="1"/>
    <s v="Same Day"/>
    <n v="0"/>
    <x v="0"/>
  </r>
  <r>
    <s v="ORD20250055"/>
    <s v="2025-02-11"/>
    <s v="Feb"/>
    <s v="Q1"/>
    <n v="2025"/>
    <s v="South"/>
    <s v="Tamil Nadu"/>
    <s v="Coimbatore"/>
    <s v="Online"/>
    <s v="Consumer"/>
    <s v="Pooja Singh"/>
    <s v="Electronics"/>
    <s v="Mobile"/>
    <s v="iPhone 14"/>
    <n v="1"/>
    <n v="67033"/>
    <n v="0.06"/>
    <n v="63011.02"/>
    <n v="55449.7"/>
    <x v="54"/>
    <n v="0.12"/>
    <x v="4"/>
    <s v="Same Day"/>
    <n v="0"/>
    <x v="0"/>
  </r>
  <r>
    <s v="ORD20250056"/>
    <s v="2025-08-18"/>
    <s v="Aug"/>
    <s v="Q3"/>
    <n v="2025"/>
    <s v="West"/>
    <s v="Goa"/>
    <s v="Panaji"/>
    <s v="Online"/>
    <s v="Home Office"/>
    <s v="Rahul Mehta"/>
    <s v="Grocery"/>
    <s v="Snacks"/>
    <s v="Potato Chips Combo"/>
    <n v="15"/>
    <n v="110"/>
    <n v="0.13"/>
    <n v="1435.5"/>
    <n v="918.72"/>
    <x v="55"/>
    <n v="0.36"/>
    <x v="4"/>
    <s v="Express"/>
    <n v="3"/>
    <x v="0"/>
  </r>
  <r>
    <s v="ORD20250057"/>
    <s v="2025-08-15"/>
    <s v="Aug"/>
    <s v="Q3"/>
    <n v="2025"/>
    <s v="East"/>
    <s v="Odisha"/>
    <s v="Cuttack"/>
    <s v="Distributor"/>
    <s v="Consumer"/>
    <s v="Rahul Mehta"/>
    <s v="Furniture"/>
    <s v="Chair"/>
    <s v="Office Chair"/>
    <n v="2"/>
    <n v="4989"/>
    <n v="0.14000000000000001"/>
    <n v="8581.08"/>
    <n v="6178.38"/>
    <x v="56"/>
    <n v="0.28000000000000003"/>
    <x v="2"/>
    <s v="Same Day"/>
    <n v="0"/>
    <x v="1"/>
  </r>
  <r>
    <s v="ORD20250058"/>
    <s v="2025-11-18"/>
    <s v="Nov"/>
    <s v="Q4"/>
    <n v="2025"/>
    <s v="East"/>
    <s v="Odisha"/>
    <s v="Bhubaneswar"/>
    <s v="Retail Store"/>
    <s v="Corporate"/>
    <s v="Rahul Mehta"/>
    <s v="Clothing"/>
    <s v="Women"/>
    <s v="Silk Saree"/>
    <n v="5"/>
    <n v="7577"/>
    <n v="0.06"/>
    <n v="35611.9"/>
    <n v="22435.5"/>
    <x v="57"/>
    <n v="0.37"/>
    <x v="4"/>
    <s v="Express"/>
    <n v="1"/>
    <x v="2"/>
  </r>
  <r>
    <s v="ORD20250059"/>
    <s v="2025-12-18"/>
    <s v="Dec"/>
    <s v="Q4"/>
    <n v="2025"/>
    <s v="North"/>
    <s v="Delhi"/>
    <s v="New Delhi"/>
    <s v="Distributor"/>
    <s v="Home Office"/>
    <s v="Arjun Patel"/>
    <s v="Clothing"/>
    <s v="Women"/>
    <s v="Western Dress"/>
    <n v="12"/>
    <n v="2595"/>
    <n v="0.09"/>
    <n v="28337.4"/>
    <n v="16152.32"/>
    <x v="58"/>
    <n v="0.43"/>
    <x v="3"/>
    <s v="Standard"/>
    <n v="5"/>
    <x v="3"/>
  </r>
  <r>
    <s v="ORD20250060"/>
    <s v="2025-03-07"/>
    <s v="Mar"/>
    <s v="Q1"/>
    <n v="2025"/>
    <s v="East"/>
    <s v="West Bengal"/>
    <s v="Siliguri"/>
    <s v="Online"/>
    <s v="Consumer"/>
    <s v="Sandeep Rao"/>
    <s v="Electronics"/>
    <s v="Mobile"/>
    <s v="iPhone 14"/>
    <n v="5"/>
    <n v="59260"/>
    <n v="0.11"/>
    <n v="263707"/>
    <n v="232062.16"/>
    <x v="59"/>
    <n v="0.12"/>
    <x v="3"/>
    <s v="Same Day"/>
    <n v="0"/>
    <x v="0"/>
  </r>
  <r>
    <s v="ORD20250061"/>
    <s v="2025-03-31"/>
    <s v="Apr"/>
    <s v="Q2"/>
    <n v="2025"/>
    <s v="South"/>
    <s v="Kerala"/>
    <s v="Thiruvananthapuram"/>
    <s v="Online"/>
    <s v="Home Office"/>
    <s v="Rahul Mehta"/>
    <s v="Clothing"/>
    <s v="Men"/>
    <s v="Denim Jeans"/>
    <n v="7"/>
    <n v="1804"/>
    <n v="0.1"/>
    <n v="11365.2"/>
    <n v="6819.12"/>
    <x v="60"/>
    <n v="0.4"/>
    <x v="1"/>
    <s v="Standard"/>
    <n v="5"/>
    <x v="3"/>
  </r>
  <r>
    <s v="ORD20250062"/>
    <s v="2025-03-18"/>
    <s v="Mar"/>
    <s v="Q1"/>
    <n v="2025"/>
    <s v="South"/>
    <s v="Telangana"/>
    <s v="Hyderabad"/>
    <s v="Retail Store"/>
    <s v="Consumer"/>
    <s v="Amit Sharma"/>
    <s v="Furniture"/>
    <s v="Chair"/>
    <s v="Gaming Chair"/>
    <n v="2"/>
    <n v="12186"/>
    <n v="0.02"/>
    <n v="23884.560000000001"/>
    <n v="17674.57"/>
    <x v="61"/>
    <n v="0.26"/>
    <x v="4"/>
    <s v="Express"/>
    <n v="3"/>
    <x v="2"/>
  </r>
  <r>
    <s v="ORD20250063"/>
    <s v="2025-01-31"/>
    <s v="Feb"/>
    <s v="Q1"/>
    <n v="2025"/>
    <s v="South"/>
    <s v="Tamil Nadu"/>
    <s v="Coimbatore"/>
    <s v="Online"/>
    <s v="Corporate"/>
    <s v="Kavya Iyer"/>
    <s v="Electronics"/>
    <s v="Laptop"/>
    <s v="HP Pavilion"/>
    <n v="2"/>
    <n v="66583"/>
    <n v="0.13"/>
    <n v="115854.42"/>
    <n v="98476.26"/>
    <x v="62"/>
    <n v="0.15"/>
    <x v="2"/>
    <s v="Standard"/>
    <n v="4"/>
    <x v="0"/>
  </r>
  <r>
    <s v="ORD20250064"/>
    <s v="2025-10-19"/>
    <s v="Oct"/>
    <s v="Q4"/>
    <n v="2025"/>
    <s v="West"/>
    <s v="Maharashtra"/>
    <s v="Mumbai"/>
    <s v="Online"/>
    <s v="Corporate"/>
    <s v="Simran Kaur"/>
    <s v="Electronics"/>
    <s v="Mobile"/>
    <s v="Samsung Galaxy A54"/>
    <n v="5"/>
    <n v="22312"/>
    <n v="7.0000000000000007E-2"/>
    <n v="103750.8"/>
    <n v="85075.66"/>
    <x v="63"/>
    <n v="0.18"/>
    <x v="2"/>
    <s v="Same Day"/>
    <n v="0"/>
    <x v="3"/>
  </r>
  <r>
    <s v="ORD20250065"/>
    <s v="2025-12-27"/>
    <s v="Dec"/>
    <s v="Q4"/>
    <n v="2025"/>
    <s v="East"/>
    <s v="Bihar"/>
    <s v="Patna"/>
    <s v="Distributor"/>
    <s v="Home Office"/>
    <s v="Rohit Jain"/>
    <s v="Electronics"/>
    <s v="Laptop"/>
    <s v="Dell Inspiron 15"/>
    <n v="2"/>
    <n v="61465"/>
    <n v="0.16"/>
    <n v="103261.2"/>
    <n v="86739.41"/>
    <x v="64"/>
    <n v="0.16"/>
    <x v="2"/>
    <s v="Same Day"/>
    <n v="0"/>
    <x v="0"/>
  </r>
  <r>
    <s v="ORD20250066"/>
    <s v="2025-08-22"/>
    <s v="Aug"/>
    <s v="Q3"/>
    <n v="2025"/>
    <s v="North"/>
    <s v="Rajasthan"/>
    <s v="Jaipur"/>
    <s v="Distributor"/>
    <s v="Corporate"/>
    <s v="Priya Nair"/>
    <s v="Clothing"/>
    <s v="Men"/>
    <s v="Denim Jeans"/>
    <n v="9"/>
    <n v="1584"/>
    <n v="0.1"/>
    <n v="12830.4"/>
    <n v="7698.24"/>
    <x v="65"/>
    <n v="0.4"/>
    <x v="1"/>
    <s v="Standard"/>
    <n v="7"/>
    <x v="2"/>
  </r>
  <r>
    <s v="ORD20250067"/>
    <s v="2025-10-05"/>
    <s v="Oct"/>
    <s v="Q4"/>
    <n v="2025"/>
    <s v="East"/>
    <s v="Odisha"/>
    <s v="Cuttack"/>
    <s v="Retail Store"/>
    <s v="Corporate"/>
    <s v="Pooja Singh"/>
    <s v="Grocery"/>
    <s v="Beverages"/>
    <s v="Premium Tea Pack"/>
    <n v="5"/>
    <n v="387"/>
    <n v="0.09"/>
    <n v="1760.85"/>
    <n v="1162.1600000000001"/>
    <x v="66"/>
    <n v="0.34"/>
    <x v="3"/>
    <s v="Same Day"/>
    <n v="0"/>
    <x v="0"/>
  </r>
  <r>
    <s v="ORD20250068"/>
    <s v="2025-02-19"/>
    <s v="Feb"/>
    <s v="Q1"/>
    <n v="2025"/>
    <s v="West"/>
    <s v="Maharashtra"/>
    <s v="Mumbai"/>
    <s v="Online"/>
    <s v="Home Office"/>
    <s v="Rahul Mehta"/>
    <s v="Clothing"/>
    <s v="Men"/>
    <s v="Denim Jeans"/>
    <n v="2"/>
    <n v="2234"/>
    <n v="0.1"/>
    <n v="4021.2"/>
    <n v="2412.7199999999998"/>
    <x v="67"/>
    <n v="0.4"/>
    <x v="3"/>
    <s v="Same Day"/>
    <n v="0"/>
    <x v="0"/>
  </r>
  <r>
    <s v="ORD20250069"/>
    <s v="2025-09-23"/>
    <s v="Sep"/>
    <s v="Q3"/>
    <n v="2025"/>
    <s v="South"/>
    <s v="Tamil Nadu"/>
    <s v="Chennai"/>
    <s v="Retail Store"/>
    <s v="Consumer"/>
    <s v="Neha Verma"/>
    <s v="Furniture"/>
    <s v="Table"/>
    <s v="Study Table"/>
    <n v="2"/>
    <n v="5337"/>
    <n v="0.09"/>
    <n v="9713.34"/>
    <n v="6896.47"/>
    <x v="68"/>
    <n v="0.28999999999999998"/>
    <x v="3"/>
    <s v="Express"/>
    <n v="3"/>
    <x v="1"/>
  </r>
  <r>
    <s v="ORD20250070"/>
    <s v="2025-06-06"/>
    <s v="Jun"/>
    <s v="Q2"/>
    <n v="2025"/>
    <s v="West"/>
    <s v="Goa"/>
    <s v="Panaji"/>
    <s v="Distributor"/>
    <s v="Corporate"/>
    <s v="Neha Verma"/>
    <s v="Electronics"/>
    <s v="Mobile"/>
    <s v="iPhone 14"/>
    <n v="4"/>
    <n v="69386"/>
    <n v="0.11"/>
    <n v="247014.16"/>
    <n v="217372.46"/>
    <x v="69"/>
    <n v="0.12"/>
    <x v="1"/>
    <s v="Express"/>
    <n v="1"/>
    <x v="0"/>
  </r>
  <r>
    <s v="ORD20250071"/>
    <s v="2025-05-24"/>
    <s v="May"/>
    <s v="Q2"/>
    <n v="2025"/>
    <s v="South"/>
    <s v="Telangana"/>
    <s v="Hyderabad"/>
    <s v="Retail Store"/>
    <s v="Home Office"/>
    <s v="Pooja Singh"/>
    <s v="Electronics"/>
    <s v="Laptop"/>
    <s v="Dell Inspiron 15"/>
    <n v="4"/>
    <n v="56988"/>
    <n v="0.04"/>
    <n v="218833.92000000001"/>
    <n v="183820.49"/>
    <x v="70"/>
    <n v="0.16"/>
    <x v="4"/>
    <s v="Standard"/>
    <n v="5"/>
    <x v="0"/>
  </r>
  <r>
    <s v="ORD20250072"/>
    <s v="2025-04-22"/>
    <s v="Apr"/>
    <s v="Q2"/>
    <n v="2025"/>
    <s v="South"/>
    <s v="Karnataka"/>
    <s v="Bengaluru"/>
    <s v="Online"/>
    <s v="Consumer"/>
    <s v="Arjun Patel"/>
    <s v="Grocery"/>
    <s v="Beverages"/>
    <s v="Premium Tea Pack"/>
    <n v="25"/>
    <n v="309"/>
    <n v="0.13"/>
    <n v="6720.75"/>
    <n v="4435.7"/>
    <x v="71"/>
    <n v="0.34"/>
    <x v="3"/>
    <s v="Express"/>
    <n v="1"/>
    <x v="1"/>
  </r>
  <r>
    <s v="ORD20250073"/>
    <s v="2025-02-11"/>
    <s v="Feb"/>
    <s v="Q1"/>
    <n v="2025"/>
    <s v="East"/>
    <s v="West Bengal"/>
    <s v="Siliguri"/>
    <s v="Retail Store"/>
    <s v="Home Office"/>
    <s v="Neha Verma"/>
    <s v="Electronics"/>
    <s v="Accessories"/>
    <s v="Wireless Mouse"/>
    <n v="3"/>
    <n v="1013"/>
    <n v="0"/>
    <n v="3039"/>
    <n v="2066.52"/>
    <x v="72"/>
    <n v="0.32"/>
    <x v="2"/>
    <s v="Standard"/>
    <n v="5"/>
    <x v="0"/>
  </r>
  <r>
    <s v="ORD20250074"/>
    <s v="2025-11-11"/>
    <s v="Nov"/>
    <s v="Q4"/>
    <n v="2025"/>
    <s v="North"/>
    <s v="Delhi"/>
    <s v="New Delhi"/>
    <s v="Distributor"/>
    <s v="Home Office"/>
    <s v="Priya Nair"/>
    <s v="Grocery"/>
    <s v="Snacks"/>
    <s v="Butter Biscuits"/>
    <n v="23"/>
    <n v="47"/>
    <n v="0.14000000000000001"/>
    <n v="929.66"/>
    <n v="576.39"/>
    <x v="73"/>
    <n v="0.38"/>
    <x v="2"/>
    <s v="Express"/>
    <n v="1"/>
    <x v="1"/>
  </r>
  <r>
    <s v="ORD20250075"/>
    <s v="2025-01-27"/>
    <s v="Jan"/>
    <s v="Q1"/>
    <n v="2025"/>
    <s v="East"/>
    <s v="Odisha"/>
    <s v="Bhubaneswar"/>
    <s v="Distributor"/>
    <s v="Corporate"/>
    <s v="Rohit Jain"/>
    <s v="Electronics"/>
    <s v="Accessories"/>
    <s v="Wireless Mouse"/>
    <n v="5"/>
    <n v="836"/>
    <n v="0.1"/>
    <n v="3762"/>
    <n v="2558.16"/>
    <x v="74"/>
    <n v="0.32"/>
    <x v="2"/>
    <s v="Standard"/>
    <n v="5"/>
    <x v="0"/>
  </r>
  <r>
    <s v="ORD20250076"/>
    <s v="2025-11-17"/>
    <s v="Nov"/>
    <s v="Q4"/>
    <n v="2025"/>
    <s v="West"/>
    <s v="Goa"/>
    <s v="Panaji"/>
    <s v="Distributor"/>
    <s v="Consumer"/>
    <s v="Amit Sharma"/>
    <s v="Clothing"/>
    <s v="Women"/>
    <s v="Silk Saree"/>
    <n v="6"/>
    <n v="4113"/>
    <n v="0.11"/>
    <n v="21963.42"/>
    <n v="13836.95"/>
    <x v="75"/>
    <n v="0.37"/>
    <x v="4"/>
    <s v="Same Day"/>
    <n v="0"/>
    <x v="2"/>
  </r>
  <r>
    <s v="ORD20250077"/>
    <s v="2025-08-14"/>
    <s v="Aug"/>
    <s v="Q3"/>
    <n v="2025"/>
    <s v="West"/>
    <s v="Goa"/>
    <s v="Panaji"/>
    <s v="Retail Store"/>
    <s v="Home Office"/>
    <s v="Priya Nair"/>
    <s v="Clothing"/>
    <s v="Men"/>
    <s v="Formal Shirt"/>
    <n v="5"/>
    <n v="1333"/>
    <n v="0.05"/>
    <n v="6331.75"/>
    <n v="3672.42"/>
    <x v="76"/>
    <n v="0.42"/>
    <x v="0"/>
    <s v="Express"/>
    <n v="3"/>
    <x v="2"/>
  </r>
  <r>
    <s v="ORD20250078"/>
    <s v="2025-06-13"/>
    <s v="Jun"/>
    <s v="Q2"/>
    <n v="2025"/>
    <s v="East"/>
    <s v="Odisha"/>
    <s v="Cuttack"/>
    <s v="Distributor"/>
    <s v="Consumer"/>
    <s v="Amit Sharma"/>
    <s v="Grocery"/>
    <s v="Beverages"/>
    <s v="Premium Tea Pack"/>
    <n v="19"/>
    <n v="396"/>
    <n v="0.15"/>
    <n v="6395.4"/>
    <n v="4220.96"/>
    <x v="77"/>
    <n v="0.34"/>
    <x v="4"/>
    <s v="Express"/>
    <n v="3"/>
    <x v="0"/>
  </r>
  <r>
    <s v="ORD20250079"/>
    <s v="2025-01-13"/>
    <s v="Jan"/>
    <s v="Q1"/>
    <n v="2025"/>
    <s v="South"/>
    <s v="Telangana"/>
    <s v="Hyderabad"/>
    <s v="Retail Store"/>
    <s v="Corporate"/>
    <s v="Priya Nair"/>
    <s v="Electronics"/>
    <s v="Accessories"/>
    <s v="Wireless Mouse"/>
    <n v="2"/>
    <n v="934"/>
    <n v="0.03"/>
    <n v="1811.96"/>
    <n v="1232.1300000000001"/>
    <x v="78"/>
    <n v="0.32"/>
    <x v="2"/>
    <s v="Same Day"/>
    <n v="0"/>
    <x v="0"/>
  </r>
  <r>
    <s v="ORD20250080"/>
    <s v="2025-11-21"/>
    <s v="Nov"/>
    <s v="Q4"/>
    <n v="2025"/>
    <s v="West"/>
    <s v="Gujarat"/>
    <s v="Surat"/>
    <s v="Retail Store"/>
    <s v="Home Office"/>
    <s v="Amit Sharma"/>
    <s v="Grocery"/>
    <s v="Beverages"/>
    <s v="Instant Coffee Jar"/>
    <n v="24"/>
    <n v="404"/>
    <n v="0.06"/>
    <n v="9114.24"/>
    <n v="6106.54"/>
    <x v="79"/>
    <n v="0.33"/>
    <x v="3"/>
    <s v="Same Day"/>
    <n v="0"/>
    <x v="0"/>
  </r>
  <r>
    <s v="ORD20250081"/>
    <s v="2025-10-14"/>
    <s v="Oct"/>
    <s v="Q4"/>
    <n v="2025"/>
    <s v="West"/>
    <s v="Gujarat"/>
    <s v="Surat"/>
    <s v="Online"/>
    <s v="Corporate"/>
    <s v="Rohit Jain"/>
    <s v="Electronics"/>
    <s v="Mobile"/>
    <s v="Samsung Galaxy A54"/>
    <n v="6"/>
    <n v="25344"/>
    <n v="0.09"/>
    <n v="138378.23999999999"/>
    <n v="113470.16"/>
    <x v="80"/>
    <n v="0.18"/>
    <x v="0"/>
    <s v="Express"/>
    <n v="3"/>
    <x v="2"/>
  </r>
  <r>
    <s v="ORD20250082"/>
    <s v="2025-07-06"/>
    <s v="Jul"/>
    <s v="Q3"/>
    <n v="2025"/>
    <s v="East"/>
    <s v="Bihar"/>
    <s v="Patna"/>
    <s v="Retail Store"/>
    <s v="Corporate"/>
    <s v="Amit Sharma"/>
    <s v="Grocery"/>
    <s v="Beverages"/>
    <s v="Instant Coffee Jar"/>
    <n v="19"/>
    <n v="469"/>
    <n v="7.0000000000000007E-2"/>
    <n v="8287.23"/>
    <n v="5552.44"/>
    <x v="81"/>
    <n v="0.33"/>
    <x v="3"/>
    <s v="Express"/>
    <n v="1"/>
    <x v="2"/>
  </r>
  <r>
    <s v="ORD20250083"/>
    <s v="2025-10-13"/>
    <s v="Oct"/>
    <s v="Q4"/>
    <n v="2025"/>
    <s v="North"/>
    <s v="Delhi"/>
    <s v="New Delhi"/>
    <s v="Retail Store"/>
    <s v="Consumer"/>
    <s v="Amit Sharma"/>
    <s v="Grocery"/>
    <s v="Beverages"/>
    <s v="Instant Coffee Jar"/>
    <n v="6"/>
    <n v="553"/>
    <n v="0.06"/>
    <n v="3118.92"/>
    <n v="2089.6799999999998"/>
    <x v="82"/>
    <n v="0.33"/>
    <x v="4"/>
    <s v="Standard"/>
    <n v="4"/>
    <x v="0"/>
  </r>
  <r>
    <s v="ORD20250084"/>
    <s v="2025-04-03"/>
    <s v="Apr"/>
    <s v="Q2"/>
    <n v="2025"/>
    <s v="North"/>
    <s v="Rajasthan"/>
    <s v="Udaipur"/>
    <s v="Distributor"/>
    <s v="Corporate"/>
    <s v="Rahul Mehta"/>
    <s v="Furniture"/>
    <s v="Chair"/>
    <s v="Office Chair"/>
    <n v="2"/>
    <n v="8957"/>
    <n v="0.08"/>
    <n v="16480.88"/>
    <n v="11866.23"/>
    <x v="83"/>
    <n v="0.28000000000000003"/>
    <x v="0"/>
    <s v="Same Day"/>
    <n v="0"/>
    <x v="0"/>
  </r>
  <r>
    <s v="ORD20250085"/>
    <s v="2025-07-09"/>
    <s v="Jul"/>
    <s v="Q3"/>
    <n v="2025"/>
    <s v="East"/>
    <s v="West Bengal"/>
    <s v="Kolkata"/>
    <s v="Distributor"/>
    <s v="Consumer"/>
    <s v="Priya Nair"/>
    <s v="Furniture"/>
    <s v="Chair"/>
    <s v="Gaming Chair"/>
    <n v="1"/>
    <n v="12891"/>
    <n v="0.15"/>
    <n v="10957.35"/>
    <n v="8108.44"/>
    <x v="84"/>
    <n v="0.26"/>
    <x v="1"/>
    <s v="Express"/>
    <n v="3"/>
    <x v="3"/>
  </r>
  <r>
    <s v="ORD20250086"/>
    <s v="2025-03-02"/>
    <s v="Mar"/>
    <s v="Q1"/>
    <n v="2025"/>
    <s v="West"/>
    <s v="Maharashtra"/>
    <s v="Nagpur"/>
    <s v="Distributor"/>
    <s v="Consumer"/>
    <s v="Rahul Mehta"/>
    <s v="Electronics"/>
    <s v="Laptop"/>
    <s v="HP Pavilion"/>
    <n v="3"/>
    <n v="67342"/>
    <n v="0.15"/>
    <n v="171722.1"/>
    <n v="145963.79"/>
    <x v="85"/>
    <n v="0.15"/>
    <x v="2"/>
    <s v="Same Day"/>
    <n v="0"/>
    <x v="0"/>
  </r>
  <r>
    <s v="ORD20250087"/>
    <s v="2025-03-10"/>
    <s v="Mar"/>
    <s v="Q1"/>
    <n v="2025"/>
    <s v="West"/>
    <s v="Gujarat"/>
    <s v="Surat"/>
    <s v="Distributor"/>
    <s v="Home Office"/>
    <s v="Amit Sharma"/>
    <s v="Electronics"/>
    <s v="Laptop"/>
    <s v="Dell Inspiron 15"/>
    <n v="6"/>
    <n v="61497"/>
    <n v="0.12"/>
    <n v="324704.15999999997"/>
    <n v="272751.49"/>
    <x v="86"/>
    <n v="0.16"/>
    <x v="1"/>
    <s v="Express"/>
    <n v="2"/>
    <x v="1"/>
  </r>
  <r>
    <s v="ORD20250088"/>
    <s v="2025-10-14"/>
    <s v="Oct"/>
    <s v="Q4"/>
    <n v="2025"/>
    <s v="West"/>
    <s v="Gujarat"/>
    <s v="Ahmedabad"/>
    <s v="Distributor"/>
    <s v="Home Office"/>
    <s v="Rohit Jain"/>
    <s v="Electronics"/>
    <s v="Laptop"/>
    <s v="Dell Inspiron 15"/>
    <n v="6"/>
    <n v="52766"/>
    <n v="0.16"/>
    <n v="265940.64"/>
    <n v="223390.14"/>
    <x v="87"/>
    <n v="0.16"/>
    <x v="3"/>
    <s v="Standard"/>
    <n v="7"/>
    <x v="2"/>
  </r>
  <r>
    <s v="ORD20250089"/>
    <s v="2025-07-15"/>
    <s v="Jul"/>
    <s v="Q3"/>
    <n v="2025"/>
    <s v="East"/>
    <s v="West Bengal"/>
    <s v="Kolkata"/>
    <s v="Online"/>
    <s v="Home Office"/>
    <s v="Arjun Patel"/>
    <s v="Clothing"/>
    <s v="Men"/>
    <s v="Denim Jeans"/>
    <n v="7"/>
    <n v="2608"/>
    <n v="0.13"/>
    <n v="15882.72"/>
    <n v="9529.6299999999992"/>
    <x v="88"/>
    <n v="0.4"/>
    <x v="2"/>
    <s v="Standard"/>
    <n v="3"/>
    <x v="0"/>
  </r>
  <r>
    <s v="ORD20250090"/>
    <s v="2025-03-27"/>
    <s v="Mar"/>
    <s v="Q1"/>
    <n v="2025"/>
    <s v="East"/>
    <s v="Bihar"/>
    <s v="Patna"/>
    <s v="Distributor"/>
    <s v="Home Office"/>
    <s v="Pooja Singh"/>
    <s v="Electronics"/>
    <s v="Mobile"/>
    <s v="iPhone 14"/>
    <n v="3"/>
    <n v="68536"/>
    <n v="0.14000000000000001"/>
    <n v="176822.88"/>
    <n v="155604.13"/>
    <x v="89"/>
    <n v="0.12"/>
    <x v="2"/>
    <s v="Same Day"/>
    <n v="0"/>
    <x v="1"/>
  </r>
  <r>
    <s v="ORD20250091"/>
    <s v="2025-08-02"/>
    <s v="Aug"/>
    <s v="Q3"/>
    <n v="2025"/>
    <s v="West"/>
    <s v="Maharashtra"/>
    <s v="Nagpur"/>
    <s v="Distributor"/>
    <s v="Home Office"/>
    <s v="Sandeep Rao"/>
    <s v="Electronics"/>
    <s v="Accessories"/>
    <s v="Mechanical Keyboard"/>
    <n v="6"/>
    <n v="2264"/>
    <n v="0.18"/>
    <n v="11138.88"/>
    <n v="7797.22"/>
    <x v="90"/>
    <n v="0.3"/>
    <x v="4"/>
    <s v="Express"/>
    <n v="1"/>
    <x v="0"/>
  </r>
  <r>
    <s v="ORD20250092"/>
    <s v="2025-09-15"/>
    <s v="Sep"/>
    <s v="Q3"/>
    <n v="2025"/>
    <s v="North"/>
    <s v="Rajasthan"/>
    <s v="Udaipur"/>
    <s v="Retail Store"/>
    <s v="Corporate"/>
    <s v="Rohit Jain"/>
    <s v="Electronics"/>
    <s v="Mobile"/>
    <s v="Samsung Galaxy A54"/>
    <n v="4"/>
    <n v="26184"/>
    <n v="0.06"/>
    <n v="98451.839999999997"/>
    <n v="80730.509999999995"/>
    <x v="91"/>
    <n v="0.18"/>
    <x v="2"/>
    <s v="Same Day"/>
    <n v="0"/>
    <x v="0"/>
  </r>
  <r>
    <s v="ORD20250093"/>
    <s v="2025-12-18"/>
    <s v="Dec"/>
    <s v="Q4"/>
    <n v="2025"/>
    <s v="South"/>
    <s v="Karnataka"/>
    <s v="Bengaluru"/>
    <s v="Retail Store"/>
    <s v="Consumer"/>
    <s v="Rahul Mehta"/>
    <s v="Grocery"/>
    <s v="Beverages"/>
    <s v="Premium Tea Pack"/>
    <n v="11"/>
    <n v="337"/>
    <n v="0.08"/>
    <n v="3410.44"/>
    <n v="2250.89"/>
    <x v="92"/>
    <n v="0.34"/>
    <x v="2"/>
    <s v="Express"/>
    <n v="1"/>
    <x v="3"/>
  </r>
  <r>
    <s v="ORD20250094"/>
    <s v="2025-07-07"/>
    <s v="Jul"/>
    <s v="Q3"/>
    <n v="2025"/>
    <s v="North"/>
    <s v="Punjab"/>
    <s v="Amritsar"/>
    <s v="Distributor"/>
    <s v="Corporate"/>
    <s v="Sandeep Rao"/>
    <s v="Furniture"/>
    <s v="Table"/>
    <s v="Study Table"/>
    <n v="3"/>
    <n v="10861"/>
    <n v="0.08"/>
    <n v="29976.36"/>
    <n v="21283.22"/>
    <x v="93"/>
    <n v="0.28999999999999998"/>
    <x v="0"/>
    <s v="Standard"/>
    <n v="5"/>
    <x v="3"/>
  </r>
  <r>
    <s v="ORD20250095"/>
    <s v="2025-09-10"/>
    <s v="Sep"/>
    <s v="Q3"/>
    <n v="2025"/>
    <s v="West"/>
    <s v="Gujarat"/>
    <s v="Ahmedabad"/>
    <s v="Online"/>
    <s v="Consumer"/>
    <s v="Rahul Mehta"/>
    <s v="Furniture"/>
    <s v="Table"/>
    <s v="Study Table"/>
    <n v="1"/>
    <n v="7318"/>
    <n v="7.0000000000000007E-2"/>
    <n v="6805.74"/>
    <n v="4832.08"/>
    <x v="94"/>
    <n v="0.28999999999999998"/>
    <x v="4"/>
    <s v="Same Day"/>
    <n v="0"/>
    <x v="2"/>
  </r>
  <r>
    <s v="ORD20250096"/>
    <s v="2025-08-02"/>
    <s v="Aug"/>
    <s v="Q3"/>
    <n v="2025"/>
    <s v="North"/>
    <s v="Uttar Pradesh"/>
    <s v="Kanpur"/>
    <s v="Retail Store"/>
    <s v="Corporate"/>
    <s v="Arjun Patel"/>
    <s v="Clothing"/>
    <s v="Women"/>
    <s v="Western Dress"/>
    <n v="8"/>
    <n v="1888"/>
    <n v="0.05"/>
    <n v="14348.8"/>
    <n v="8178.82"/>
    <x v="95"/>
    <n v="0.43"/>
    <x v="4"/>
    <s v="Express"/>
    <n v="1"/>
    <x v="0"/>
  </r>
  <r>
    <s v="ORD20250097"/>
    <s v="2025-04-27"/>
    <s v="Apr"/>
    <s v="Q2"/>
    <n v="2025"/>
    <s v="North"/>
    <s v="Uttar Pradesh"/>
    <s v="Lucknow"/>
    <s v="Online"/>
    <s v="Consumer"/>
    <s v="Amit Sharma"/>
    <s v="Electronics"/>
    <s v="Laptop"/>
    <s v="HP Pavilion"/>
    <n v="2"/>
    <n v="53044"/>
    <n v="0.1"/>
    <n v="95479.2"/>
    <n v="81157.320000000007"/>
    <x v="96"/>
    <n v="0.15"/>
    <x v="1"/>
    <s v="Express"/>
    <n v="1"/>
    <x v="0"/>
  </r>
  <r>
    <s v="ORD20250098"/>
    <s v="2025-03-06"/>
    <s v="Mar"/>
    <s v="Q1"/>
    <n v="2025"/>
    <s v="West"/>
    <s v="Goa"/>
    <s v="Panaji"/>
    <s v="Online"/>
    <s v="Corporate"/>
    <s v="Neha Verma"/>
    <s v="Electronics"/>
    <s v="Mobile"/>
    <s v="Samsung Galaxy A54"/>
    <n v="1"/>
    <n v="25563"/>
    <n v="0.08"/>
    <n v="23517.96"/>
    <n v="19284.73"/>
    <x v="97"/>
    <n v="0.18"/>
    <x v="3"/>
    <s v="Express"/>
    <n v="1"/>
    <x v="3"/>
  </r>
  <r>
    <s v="ORD20250099"/>
    <s v="2025-02-07"/>
    <s v="Feb"/>
    <s v="Q1"/>
    <n v="2025"/>
    <s v="South"/>
    <s v="Telangana"/>
    <s v="Hyderabad"/>
    <s v="Retail Store"/>
    <s v="Corporate"/>
    <s v="Neha Verma"/>
    <s v="Electronics"/>
    <s v="Laptop"/>
    <s v="HP Pavilion"/>
    <n v="3"/>
    <n v="60823"/>
    <n v="0"/>
    <n v="182469"/>
    <n v="155098.65"/>
    <x v="98"/>
    <n v="0.15"/>
    <x v="1"/>
    <s v="Express"/>
    <n v="2"/>
    <x v="1"/>
  </r>
  <r>
    <s v="ORD20250100"/>
    <s v="2025-10-10"/>
    <s v="Oct"/>
    <s v="Q4"/>
    <n v="2025"/>
    <s v="North"/>
    <s v="Punjab"/>
    <s v="Amritsar"/>
    <s v="Distributor"/>
    <s v="Corporate"/>
    <s v="Arjun Patel"/>
    <s v="Electronics"/>
    <s v="Accessories"/>
    <s v="Mechanical Keyboard"/>
    <n v="3"/>
    <n v="3003"/>
    <n v="0.11"/>
    <n v="8018.01"/>
    <n v="5612.61"/>
    <x v="99"/>
    <n v="0.3"/>
    <x v="1"/>
    <s v="Express"/>
    <n v="3"/>
    <x v="0"/>
  </r>
  <r>
    <s v="ORD20250101"/>
    <s v="2025-05-12"/>
    <s v="May"/>
    <s v="Q2"/>
    <n v="2025"/>
    <s v="South"/>
    <s v="Telangana"/>
    <s v="Hyderabad"/>
    <s v="Online"/>
    <s v="Corporate"/>
    <s v="Amit Sharma"/>
    <s v="Furniture"/>
    <s v="Chair"/>
    <s v="Gaming Chair"/>
    <n v="2"/>
    <n v="13170"/>
    <n v="0.09"/>
    <n v="23969.4"/>
    <n v="17737.36"/>
    <x v="100"/>
    <n v="0.26"/>
    <x v="2"/>
    <s v="Express"/>
    <n v="2"/>
    <x v="3"/>
  </r>
  <r>
    <s v="ORD20250102"/>
    <s v="2025-01-01"/>
    <s v="Jan"/>
    <s v="Q1"/>
    <n v="2025"/>
    <s v="East"/>
    <s v="Odisha"/>
    <s v="Cuttack"/>
    <s v="Distributor"/>
    <s v="Corporate"/>
    <s v="Kavya Iyer"/>
    <s v="Electronics"/>
    <s v="Laptop"/>
    <s v="Dell Inspiron 15"/>
    <n v="6"/>
    <n v="55984"/>
    <n v="0.14000000000000001"/>
    <n v="288877.44"/>
    <n v="242657.05"/>
    <x v="101"/>
    <n v="0.16"/>
    <x v="3"/>
    <s v="Standard"/>
    <n v="4"/>
    <x v="0"/>
  </r>
  <r>
    <s v="ORD20250103"/>
    <s v="2025-02-05"/>
    <s v="Feb"/>
    <s v="Q1"/>
    <n v="2025"/>
    <s v="North"/>
    <s v="Uttar Pradesh"/>
    <s v="Noida"/>
    <s v="Online"/>
    <s v="Consumer"/>
    <s v="Kavya Iyer"/>
    <s v="Furniture"/>
    <s v="Chair"/>
    <s v="Office Chair"/>
    <n v="3"/>
    <n v="7848"/>
    <n v="0.15"/>
    <n v="20012.400000000001"/>
    <n v="14408.93"/>
    <x v="102"/>
    <n v="0.28000000000000003"/>
    <x v="0"/>
    <s v="Express"/>
    <n v="3"/>
    <x v="0"/>
  </r>
  <r>
    <s v="ORD20250104"/>
    <s v="2025-09-18"/>
    <s v="Sep"/>
    <s v="Q3"/>
    <n v="2025"/>
    <s v="West"/>
    <s v="Maharashtra"/>
    <s v="Nagpur"/>
    <s v="Distributor"/>
    <s v="Home Office"/>
    <s v="Arjun Patel"/>
    <s v="Electronics"/>
    <s v="Mobile"/>
    <s v="Samsung Galaxy A54"/>
    <n v="3"/>
    <n v="29425"/>
    <n v="0.08"/>
    <n v="81213"/>
    <n v="66594.66"/>
    <x v="103"/>
    <n v="0.18"/>
    <x v="0"/>
    <s v="Same Day"/>
    <n v="0"/>
    <x v="0"/>
  </r>
  <r>
    <s v="ORD20250105"/>
    <s v="2025-08-02"/>
    <s v="Aug"/>
    <s v="Q3"/>
    <n v="2025"/>
    <s v="West"/>
    <s v="Goa"/>
    <s v="Panaji"/>
    <s v="Online"/>
    <s v="Home Office"/>
    <s v="Kavya Iyer"/>
    <s v="Electronics"/>
    <s v="Accessories"/>
    <s v="Mechanical Keyboard"/>
    <n v="1"/>
    <n v="4003"/>
    <n v="0.15"/>
    <n v="3402.55"/>
    <n v="2381.79"/>
    <x v="104"/>
    <n v="0.3"/>
    <x v="4"/>
    <s v="Standard"/>
    <n v="4"/>
    <x v="1"/>
  </r>
  <r>
    <s v="ORD20250106"/>
    <s v="2025-11-21"/>
    <s v="Nov"/>
    <s v="Q4"/>
    <n v="2025"/>
    <s v="East"/>
    <s v="Odisha"/>
    <s v="Bhubaneswar"/>
    <s v="Online"/>
    <s v="Consumer"/>
    <s v="Neha Verma"/>
    <s v="Electronics"/>
    <s v="Mobile"/>
    <s v="iPhone 14"/>
    <n v="3"/>
    <n v="71049"/>
    <n v="0.13"/>
    <n v="185437.89"/>
    <n v="163185.34"/>
    <x v="105"/>
    <n v="0.12"/>
    <x v="0"/>
    <s v="Express"/>
    <n v="2"/>
    <x v="3"/>
  </r>
  <r>
    <s v="ORD20250107"/>
    <s v="2025-05-14"/>
    <s v="May"/>
    <s v="Q2"/>
    <n v="2025"/>
    <s v="North"/>
    <s v="Rajasthan"/>
    <s v="Udaipur"/>
    <s v="Retail Store"/>
    <s v="Home Office"/>
    <s v="Simran Kaur"/>
    <s v="Grocery"/>
    <s v="Beverages"/>
    <s v="Instant Coffee Jar"/>
    <n v="5"/>
    <n v="511"/>
    <n v="0.05"/>
    <n v="2427.25"/>
    <n v="1626.26"/>
    <x v="106"/>
    <n v="0.33"/>
    <x v="0"/>
    <s v="Same Day"/>
    <n v="0"/>
    <x v="1"/>
  </r>
  <r>
    <s v="ORD20250108"/>
    <s v="2025-09-04"/>
    <s v="Sep"/>
    <s v="Q3"/>
    <n v="2025"/>
    <s v="North"/>
    <s v="Delhi"/>
    <s v="New Delhi"/>
    <s v="Retail Store"/>
    <s v="Consumer"/>
    <s v="Neha Verma"/>
    <s v="Electronics"/>
    <s v="Laptop"/>
    <s v="Dell Inspiron 15"/>
    <n v="2"/>
    <n v="60537"/>
    <n v="0.02"/>
    <n v="118652.52"/>
    <n v="99668.12"/>
    <x v="107"/>
    <n v="0.16"/>
    <x v="2"/>
    <s v="Standard"/>
    <n v="6"/>
    <x v="3"/>
  </r>
  <r>
    <s v="ORD20250109"/>
    <s v="2025-02-07"/>
    <s v="Feb"/>
    <s v="Q1"/>
    <n v="2025"/>
    <s v="East"/>
    <s v="Bihar"/>
    <s v="Patna"/>
    <s v="Online"/>
    <s v="Corporate"/>
    <s v="Rahul Mehta"/>
    <s v="Electronics"/>
    <s v="Laptop"/>
    <s v="Dell Inspiron 15"/>
    <n v="2"/>
    <n v="53255"/>
    <n v="0.15"/>
    <n v="90533.5"/>
    <n v="76048.14"/>
    <x v="108"/>
    <n v="0.16"/>
    <x v="4"/>
    <s v="Standard"/>
    <n v="5"/>
    <x v="3"/>
  </r>
  <r>
    <s v="ORD20250110"/>
    <s v="2025-07-11"/>
    <s v="Jul"/>
    <s v="Q3"/>
    <n v="2025"/>
    <s v="North"/>
    <s v="Uttar Pradesh"/>
    <s v="Noida"/>
    <s v="Online"/>
    <s v="Consumer"/>
    <s v="Simran Kaur"/>
    <s v="Grocery"/>
    <s v="Beverages"/>
    <s v="Instant Coffee Jar"/>
    <n v="12"/>
    <n v="540"/>
    <n v="0.05"/>
    <n v="6156"/>
    <n v="4124.5200000000004"/>
    <x v="109"/>
    <n v="0.33"/>
    <x v="3"/>
    <s v="Express"/>
    <n v="1"/>
    <x v="3"/>
  </r>
  <r>
    <s v="ORD20250111"/>
    <s v="2025-03-11"/>
    <s v="Mar"/>
    <s v="Q1"/>
    <n v="2025"/>
    <s v="South"/>
    <s v="Telangana"/>
    <s v="Hyderabad"/>
    <s v="Retail Store"/>
    <s v="Home Office"/>
    <s v="Kavya Iyer"/>
    <s v="Electronics"/>
    <s v="Mobile"/>
    <s v="iPhone 14"/>
    <n v="5"/>
    <n v="63629"/>
    <n v="0.06"/>
    <n v="299056.3"/>
    <n v="263169.53999999998"/>
    <x v="110"/>
    <n v="0.12"/>
    <x v="1"/>
    <s v="Standard"/>
    <n v="6"/>
    <x v="1"/>
  </r>
  <r>
    <s v="ORD20250112"/>
    <s v="2025-04-21"/>
    <s v="Apr"/>
    <s v="Q2"/>
    <n v="2025"/>
    <s v="West"/>
    <s v="Goa"/>
    <s v="Panaji"/>
    <s v="Distributor"/>
    <s v="Consumer"/>
    <s v="Kavya Iyer"/>
    <s v="Grocery"/>
    <s v="Snacks"/>
    <s v="Butter Biscuits"/>
    <n v="13"/>
    <n v="57"/>
    <n v="0.14000000000000001"/>
    <n v="637.26"/>
    <n v="395.1"/>
    <x v="111"/>
    <n v="0.38"/>
    <x v="2"/>
    <s v="Standard"/>
    <n v="7"/>
    <x v="2"/>
  </r>
  <r>
    <s v="ORD20250113"/>
    <s v="2025-02-26"/>
    <s v="Feb"/>
    <s v="Q1"/>
    <n v="2025"/>
    <s v="South"/>
    <s v="Karnataka"/>
    <s v="Bengaluru"/>
    <s v="Retail Store"/>
    <s v="Consumer"/>
    <s v="Amit Sharma"/>
    <s v="Clothing"/>
    <s v="Women"/>
    <s v="Western Dress"/>
    <n v="4"/>
    <n v="3080"/>
    <n v="0.09"/>
    <n v="11211.2"/>
    <n v="6390.38"/>
    <x v="112"/>
    <n v="0.43"/>
    <x v="3"/>
    <s v="Express"/>
    <n v="3"/>
    <x v="3"/>
  </r>
  <r>
    <s v="ORD20250114"/>
    <s v="2025-09-02"/>
    <s v="Sep"/>
    <s v="Q3"/>
    <n v="2025"/>
    <s v="North"/>
    <s v="Rajasthan"/>
    <s v="Jaipur"/>
    <s v="Online"/>
    <s v="Consumer"/>
    <s v="Kavya Iyer"/>
    <s v="Furniture"/>
    <s v="Chair"/>
    <s v="Office Chair"/>
    <n v="3"/>
    <n v="5588"/>
    <n v="0.08"/>
    <n v="15422.88"/>
    <n v="11104.47"/>
    <x v="113"/>
    <n v="0.28000000000000003"/>
    <x v="1"/>
    <s v="Standard"/>
    <n v="3"/>
    <x v="0"/>
  </r>
  <r>
    <s v="ORD20250115"/>
    <s v="2025-07-22"/>
    <s v="Jul"/>
    <s v="Q3"/>
    <n v="2025"/>
    <s v="North"/>
    <s v="Rajasthan"/>
    <s v="Jaipur"/>
    <s v="Distributor"/>
    <s v="Consumer"/>
    <s v="Neha Verma"/>
    <s v="Grocery"/>
    <s v="Snacks"/>
    <s v="Potato Chips Combo"/>
    <n v="24"/>
    <n v="82"/>
    <n v="0.14000000000000001"/>
    <n v="1692.48"/>
    <n v="1083.19"/>
    <x v="114"/>
    <n v="0.36"/>
    <x v="2"/>
    <s v="Express"/>
    <n v="3"/>
    <x v="0"/>
  </r>
  <r>
    <s v="ORD20250116"/>
    <s v="2025-11-16"/>
    <s v="Nov"/>
    <s v="Q4"/>
    <n v="2025"/>
    <s v="North"/>
    <s v="Uttar Pradesh"/>
    <s v="Kanpur"/>
    <s v="Online"/>
    <s v="Corporate"/>
    <s v="Simran Kaur"/>
    <s v="Electronics"/>
    <s v="Mobile"/>
    <s v="Samsung Galaxy A54"/>
    <n v="2"/>
    <n v="22491"/>
    <n v="0.15"/>
    <n v="38234.699999999997"/>
    <n v="31352.45"/>
    <x v="115"/>
    <n v="0.18"/>
    <x v="2"/>
    <s v="Standard"/>
    <n v="3"/>
    <x v="0"/>
  </r>
  <r>
    <s v="ORD20250117"/>
    <s v="2025-04-25"/>
    <s v="Apr"/>
    <s v="Q2"/>
    <n v="2025"/>
    <s v="East"/>
    <s v="West Bengal"/>
    <s v="Siliguri"/>
    <s v="Retail Store"/>
    <s v="Home Office"/>
    <s v="Neha Verma"/>
    <s v="Electronics"/>
    <s v="Laptop"/>
    <s v="Dell Inspiron 15"/>
    <n v="3"/>
    <n v="49259"/>
    <n v="0.01"/>
    <n v="146299.23000000001"/>
    <n v="122891.35"/>
    <x v="116"/>
    <n v="0.16"/>
    <x v="3"/>
    <s v="Express"/>
    <n v="1"/>
    <x v="1"/>
  </r>
  <r>
    <s v="ORD20250118"/>
    <s v="2025-04-10"/>
    <s v="Apr"/>
    <s v="Q2"/>
    <n v="2025"/>
    <s v="North"/>
    <s v="Rajasthan"/>
    <s v="Udaipur"/>
    <s v="Online"/>
    <s v="Consumer"/>
    <s v="Kavya Iyer"/>
    <s v="Electronics"/>
    <s v="Accessories"/>
    <s v="Wireless Mouse"/>
    <n v="1"/>
    <n v="1357"/>
    <n v="0.11"/>
    <n v="1207.73"/>
    <n v="821.26"/>
    <x v="117"/>
    <n v="0.32"/>
    <x v="1"/>
    <s v="Standard"/>
    <n v="3"/>
    <x v="0"/>
  </r>
  <r>
    <s v="ORD20250119"/>
    <s v="2025-12-02"/>
    <s v="Dec"/>
    <s v="Q4"/>
    <n v="2025"/>
    <s v="East"/>
    <s v="West Bengal"/>
    <s v="Kolkata"/>
    <s v="Retail Store"/>
    <s v="Corporate"/>
    <s v="Pooja Singh"/>
    <s v="Electronics"/>
    <s v="Laptop"/>
    <s v="Dell Inspiron 15"/>
    <n v="2"/>
    <n v="48759"/>
    <n v="0.08"/>
    <n v="89716.56"/>
    <n v="75361.91"/>
    <x v="118"/>
    <n v="0.16"/>
    <x v="4"/>
    <s v="Same Day"/>
    <n v="0"/>
    <x v="1"/>
  </r>
  <r>
    <s v="ORD20250120"/>
    <s v="2025-08-14"/>
    <s v="Aug"/>
    <s v="Q3"/>
    <n v="2025"/>
    <s v="South"/>
    <s v="Karnataka"/>
    <s v="Mysuru"/>
    <s v="Online"/>
    <s v="Consumer"/>
    <s v="Rahul Mehta"/>
    <s v="Electronics"/>
    <s v="Accessories"/>
    <s v="Wireless Mouse"/>
    <n v="3"/>
    <n v="979"/>
    <n v="0.13"/>
    <n v="2555.19"/>
    <n v="1737.53"/>
    <x v="119"/>
    <n v="0.32"/>
    <x v="0"/>
    <s v="Standard"/>
    <n v="6"/>
    <x v="0"/>
  </r>
  <r>
    <s v="ORD20250121"/>
    <s v="2025-08-13"/>
    <s v="Aug"/>
    <s v="Q3"/>
    <n v="2025"/>
    <s v="East"/>
    <s v="Bihar"/>
    <s v="Patna"/>
    <s v="Online"/>
    <s v="Corporate"/>
    <s v="Amit Sharma"/>
    <s v="Furniture"/>
    <s v="Chair"/>
    <s v="Office Chair"/>
    <n v="3"/>
    <n v="7395"/>
    <n v="0.11"/>
    <n v="19744.650000000001"/>
    <n v="14216.15"/>
    <x v="120"/>
    <n v="0.28000000000000003"/>
    <x v="4"/>
    <s v="Express"/>
    <n v="1"/>
    <x v="0"/>
  </r>
  <r>
    <s v="ORD20250122"/>
    <s v="2025-06-19"/>
    <s v="Jun"/>
    <s v="Q2"/>
    <n v="2025"/>
    <s v="North"/>
    <s v="Rajasthan"/>
    <s v="Jaipur"/>
    <s v="Online"/>
    <s v="Corporate"/>
    <s v="Priya Nair"/>
    <s v="Electronics"/>
    <s v="Mobile"/>
    <s v="iPhone 14"/>
    <n v="6"/>
    <n v="63367"/>
    <n v="0.06"/>
    <n v="357389.88"/>
    <n v="314503.09000000003"/>
    <x v="121"/>
    <n v="0.12"/>
    <x v="3"/>
    <s v="Express"/>
    <n v="1"/>
    <x v="0"/>
  </r>
  <r>
    <s v="ORD20250123"/>
    <s v="2025-03-16"/>
    <s v="Mar"/>
    <s v="Q1"/>
    <n v="2025"/>
    <s v="West"/>
    <s v="Gujarat"/>
    <s v="Surat"/>
    <s v="Distributor"/>
    <s v="Consumer"/>
    <s v="Simran Kaur"/>
    <s v="Electronics"/>
    <s v="Laptop"/>
    <s v="Dell Inspiron 15"/>
    <n v="5"/>
    <n v="55301"/>
    <n v="0.11"/>
    <n v="246089.45"/>
    <n v="206715.14"/>
    <x v="122"/>
    <n v="0.16"/>
    <x v="4"/>
    <s v="Express"/>
    <n v="1"/>
    <x v="3"/>
  </r>
  <r>
    <s v="ORD20250124"/>
    <s v="2025-10-25"/>
    <s v="Oct"/>
    <s v="Q4"/>
    <n v="2025"/>
    <s v="South"/>
    <s v="Kerala"/>
    <s v="Thiruvananthapuram"/>
    <s v="Retail Store"/>
    <s v="Corporate"/>
    <s v="Arjun Patel"/>
    <s v="Clothing"/>
    <s v="Men"/>
    <s v="Formal Shirt"/>
    <n v="5"/>
    <n v="2051"/>
    <n v="0.06"/>
    <n v="9639.7000000000007"/>
    <n v="5591.03"/>
    <x v="123"/>
    <n v="0.42"/>
    <x v="1"/>
    <s v="Express"/>
    <n v="2"/>
    <x v="0"/>
  </r>
  <r>
    <s v="ORD20250125"/>
    <s v="2025-03-15"/>
    <s v="Mar"/>
    <s v="Q1"/>
    <n v="2025"/>
    <s v="South"/>
    <s v="Tamil Nadu"/>
    <s v="Coimbatore"/>
    <s v="Retail Store"/>
    <s v="Corporate"/>
    <s v="Neha Verma"/>
    <s v="Furniture"/>
    <s v="Chair"/>
    <s v="Gaming Chair"/>
    <n v="2"/>
    <n v="15412"/>
    <n v="0.04"/>
    <n v="29591.040000000001"/>
    <n v="21897.37"/>
    <x v="124"/>
    <n v="0.26"/>
    <x v="1"/>
    <s v="Express"/>
    <n v="3"/>
    <x v="1"/>
  </r>
  <r>
    <s v="ORD20250126"/>
    <s v="2025-12-19"/>
    <s v="Dec"/>
    <s v="Q4"/>
    <n v="2025"/>
    <s v="North"/>
    <s v="Rajasthan"/>
    <s v="Udaipur"/>
    <s v="Online"/>
    <s v="Home Office"/>
    <s v="Amit Sharma"/>
    <s v="Furniture"/>
    <s v="Table"/>
    <s v="Dining Table"/>
    <n v="2"/>
    <n v="21097"/>
    <n v="0.06"/>
    <n v="39662.36"/>
    <n v="30143.39"/>
    <x v="125"/>
    <n v="0.24"/>
    <x v="4"/>
    <s v="Express"/>
    <n v="1"/>
    <x v="1"/>
  </r>
  <r>
    <s v="ORD20250127"/>
    <s v="2025-06-18"/>
    <s v="Jun"/>
    <s v="Q2"/>
    <n v="2025"/>
    <s v="East"/>
    <s v="Bihar"/>
    <s v="Patna"/>
    <s v="Retail Store"/>
    <s v="Home Office"/>
    <s v="Simran Kaur"/>
    <s v="Electronics"/>
    <s v="Laptop"/>
    <s v="HP Pavilion"/>
    <n v="6"/>
    <n v="61999"/>
    <n v="0.01"/>
    <n v="368274.06"/>
    <n v="313032.95"/>
    <x v="126"/>
    <n v="0.15"/>
    <x v="1"/>
    <s v="Standard"/>
    <n v="4"/>
    <x v="0"/>
  </r>
  <r>
    <s v="ORD20250128"/>
    <s v="2025-12-25"/>
    <s v="Dec"/>
    <s v="Q4"/>
    <n v="2025"/>
    <s v="South"/>
    <s v="Kerala"/>
    <s v="Thiruvananthapuram"/>
    <s v="Online"/>
    <s v="Home Office"/>
    <s v="Kavya Iyer"/>
    <s v="Furniture"/>
    <s v="Table"/>
    <s v="Dining Table"/>
    <n v="2"/>
    <n v="19299"/>
    <n v="0.11"/>
    <n v="34352.22"/>
    <n v="26107.69"/>
    <x v="127"/>
    <n v="0.24"/>
    <x v="3"/>
    <s v="Same Day"/>
    <n v="0"/>
    <x v="0"/>
  </r>
  <r>
    <s v="ORD20250129"/>
    <s v="2025-09-09"/>
    <s v="Sep"/>
    <s v="Q3"/>
    <n v="2025"/>
    <s v="South"/>
    <s v="Tamil Nadu"/>
    <s v="Coimbatore"/>
    <s v="Retail Store"/>
    <s v="Corporate"/>
    <s v="Simran Kaur"/>
    <s v="Grocery"/>
    <s v="Snacks"/>
    <s v="Potato Chips Combo"/>
    <n v="30"/>
    <n v="79"/>
    <n v="0.1"/>
    <n v="2133"/>
    <n v="1365.12"/>
    <x v="128"/>
    <n v="0.36"/>
    <x v="1"/>
    <s v="Standard"/>
    <n v="7"/>
    <x v="0"/>
  </r>
  <r>
    <s v="ORD20250130"/>
    <s v="2025-09-25"/>
    <s v="Sep"/>
    <s v="Q3"/>
    <n v="2025"/>
    <s v="South"/>
    <s v="Telangana"/>
    <s v="Hyderabad"/>
    <s v="Distributor"/>
    <s v="Consumer"/>
    <s v="Sandeep Rao"/>
    <s v="Furniture"/>
    <s v="Table"/>
    <s v="Study Table"/>
    <n v="1"/>
    <n v="7802"/>
    <n v="0.08"/>
    <n v="7177.84"/>
    <n v="5096.2700000000004"/>
    <x v="129"/>
    <n v="0.28999999999999998"/>
    <x v="4"/>
    <s v="Same Day"/>
    <n v="0"/>
    <x v="1"/>
  </r>
  <r>
    <s v="ORD20250131"/>
    <s v="2025-02-23"/>
    <s v="Feb"/>
    <s v="Q1"/>
    <n v="2025"/>
    <s v="East"/>
    <s v="Odisha"/>
    <s v="Cuttack"/>
    <s v="Distributor"/>
    <s v="Home Office"/>
    <s v="Kavya Iyer"/>
    <s v="Grocery"/>
    <s v="Beverages"/>
    <s v="Instant Coffee Jar"/>
    <n v="7"/>
    <n v="324"/>
    <n v="0.11"/>
    <n v="2018.52"/>
    <n v="1352.41"/>
    <x v="130"/>
    <n v="0.33"/>
    <x v="2"/>
    <s v="Same Day"/>
    <n v="0"/>
    <x v="2"/>
  </r>
  <r>
    <s v="ORD20250132"/>
    <s v="2025-08-19"/>
    <s v="Aug"/>
    <s v="Q3"/>
    <n v="2025"/>
    <s v="West"/>
    <s v="Maharashtra"/>
    <s v="Pune"/>
    <s v="Distributor"/>
    <s v="Consumer"/>
    <s v="Arjun Patel"/>
    <s v="Clothing"/>
    <s v="Men"/>
    <s v="Denim Jeans"/>
    <n v="8"/>
    <n v="2073"/>
    <n v="0.13"/>
    <n v="14428.08"/>
    <n v="8656.85"/>
    <x v="131"/>
    <n v="0.4"/>
    <x v="2"/>
    <s v="Same Day"/>
    <n v="0"/>
    <x v="2"/>
  </r>
  <r>
    <s v="ORD20250133"/>
    <s v="2025-11-12"/>
    <s v="Nov"/>
    <s v="Q4"/>
    <n v="2025"/>
    <s v="North"/>
    <s v="Rajasthan"/>
    <s v="Udaipur"/>
    <s v="Retail Store"/>
    <s v="Corporate"/>
    <s v="Arjun Patel"/>
    <s v="Grocery"/>
    <s v="Beverages"/>
    <s v="Instant Coffee Jar"/>
    <n v="24"/>
    <n v="433"/>
    <n v="0.08"/>
    <n v="9560.64"/>
    <n v="6405.63"/>
    <x v="132"/>
    <n v="0.33"/>
    <x v="0"/>
    <s v="Same Day"/>
    <n v="0"/>
    <x v="1"/>
  </r>
  <r>
    <s v="ORD20250134"/>
    <s v="2025-03-07"/>
    <s v="Mar"/>
    <s v="Q1"/>
    <n v="2025"/>
    <s v="North"/>
    <s v="Punjab"/>
    <s v="Ludhiana"/>
    <s v="Retail Store"/>
    <s v="Home Office"/>
    <s v="Sandeep Rao"/>
    <s v="Electronics"/>
    <s v="Laptop"/>
    <s v="HP Pavilion"/>
    <n v="3"/>
    <n v="53150"/>
    <n v="0.02"/>
    <n v="156261"/>
    <n v="132821.85"/>
    <x v="133"/>
    <n v="0.15"/>
    <x v="1"/>
    <s v="Same Day"/>
    <n v="0"/>
    <x v="1"/>
  </r>
  <r>
    <s v="ORD20250135"/>
    <s v="2025-07-11"/>
    <s v="Jul"/>
    <s v="Q3"/>
    <n v="2025"/>
    <s v="South"/>
    <s v="Telangana"/>
    <s v="Hyderabad"/>
    <s v="Distributor"/>
    <s v="Consumer"/>
    <s v="Arjun Patel"/>
    <s v="Electronics"/>
    <s v="Laptop"/>
    <s v="Dell Inspiron 15"/>
    <n v="6"/>
    <n v="55461"/>
    <n v="0.17"/>
    <n v="276195.78000000003"/>
    <n v="232004.46"/>
    <x v="134"/>
    <n v="0.16"/>
    <x v="2"/>
    <s v="Express"/>
    <n v="2"/>
    <x v="3"/>
  </r>
  <r>
    <s v="ORD20250136"/>
    <s v="2025-10-31"/>
    <s v="Nov"/>
    <s v="Q4"/>
    <n v="2025"/>
    <s v="South"/>
    <s v="Tamil Nadu"/>
    <s v="Coimbatore"/>
    <s v="Distributor"/>
    <s v="Consumer"/>
    <s v="Rohit Jain"/>
    <s v="Electronics"/>
    <s v="Laptop"/>
    <s v="Dell Inspiron 15"/>
    <n v="4"/>
    <n v="56195"/>
    <n v="0.1"/>
    <n v="202302"/>
    <n v="169933.68"/>
    <x v="135"/>
    <n v="0.16"/>
    <x v="2"/>
    <s v="Standard"/>
    <n v="3"/>
    <x v="2"/>
  </r>
  <r>
    <s v="ORD20250137"/>
    <s v="2025-09-26"/>
    <s v="Sep"/>
    <s v="Q3"/>
    <n v="2025"/>
    <s v="East"/>
    <s v="Bihar"/>
    <s v="Patna"/>
    <s v="Retail Store"/>
    <s v="Corporate"/>
    <s v="Rohit Jain"/>
    <s v="Electronics"/>
    <s v="Accessories"/>
    <s v="Wireless Mouse"/>
    <n v="3"/>
    <n v="1483"/>
    <n v="0.04"/>
    <n v="4271.04"/>
    <n v="2904.31"/>
    <x v="136"/>
    <n v="0.32"/>
    <x v="3"/>
    <s v="Standard"/>
    <n v="7"/>
    <x v="1"/>
  </r>
  <r>
    <s v="ORD20250138"/>
    <s v="2025-05-01"/>
    <s v="May"/>
    <s v="Q2"/>
    <n v="2025"/>
    <s v="West"/>
    <s v="Gujarat"/>
    <s v="Surat"/>
    <s v="Retail Store"/>
    <s v="Corporate"/>
    <s v="Rahul Mehta"/>
    <s v="Furniture"/>
    <s v="Table"/>
    <s v="Study Table"/>
    <n v="3"/>
    <n v="5335"/>
    <n v="0.09"/>
    <n v="14564.55"/>
    <n v="10340.83"/>
    <x v="137"/>
    <n v="0.28999999999999998"/>
    <x v="0"/>
    <s v="Standard"/>
    <n v="3"/>
    <x v="0"/>
  </r>
  <r>
    <s v="ORD20250139"/>
    <s v="2025-07-25"/>
    <s v="Jul"/>
    <s v="Q3"/>
    <n v="2025"/>
    <s v="West"/>
    <s v="Goa"/>
    <s v="Panaji"/>
    <s v="Retail Store"/>
    <s v="Home Office"/>
    <s v="Rohit Jain"/>
    <s v="Electronics"/>
    <s v="Mobile"/>
    <s v="iPhone 14"/>
    <n v="4"/>
    <n v="64081"/>
    <n v="7.0000000000000007E-2"/>
    <n v="238381.32"/>
    <n v="209775.56"/>
    <x v="138"/>
    <n v="0.12"/>
    <x v="3"/>
    <s v="Standard"/>
    <n v="7"/>
    <x v="0"/>
  </r>
  <r>
    <s v="ORD20250140"/>
    <s v="2025-01-09"/>
    <s v="Jan"/>
    <s v="Q1"/>
    <n v="2025"/>
    <s v="South"/>
    <s v="Karnataka"/>
    <s v="Mysuru"/>
    <s v="Distributor"/>
    <s v="Corporate"/>
    <s v="Arjun Patel"/>
    <s v="Grocery"/>
    <s v="Snacks"/>
    <s v="Potato Chips Combo"/>
    <n v="21"/>
    <n v="103"/>
    <n v="0.14000000000000001"/>
    <n v="1860.18"/>
    <n v="1190.52"/>
    <x v="139"/>
    <n v="0.36"/>
    <x v="1"/>
    <s v="Same Day"/>
    <n v="0"/>
    <x v="0"/>
  </r>
  <r>
    <s v="ORD20250141"/>
    <s v="2025-05-26"/>
    <s v="May"/>
    <s v="Q2"/>
    <n v="2025"/>
    <s v="East"/>
    <s v="West Bengal"/>
    <s v="Siliguri"/>
    <s v="Online"/>
    <s v="Corporate"/>
    <s v="Simran Kaur"/>
    <s v="Clothing"/>
    <s v="Men"/>
    <s v="Denim Jeans"/>
    <n v="2"/>
    <n v="1421"/>
    <n v="0.1"/>
    <n v="2557.8000000000002"/>
    <n v="1534.68"/>
    <x v="140"/>
    <n v="0.4"/>
    <x v="3"/>
    <s v="Same Day"/>
    <n v="0"/>
    <x v="2"/>
  </r>
  <r>
    <s v="ORD20250142"/>
    <s v="2025-09-04"/>
    <s v="Sep"/>
    <s v="Q3"/>
    <n v="2025"/>
    <s v="North"/>
    <s v="Uttar Pradesh"/>
    <s v="Lucknow"/>
    <s v="Online"/>
    <s v="Corporate"/>
    <s v="Kavya Iyer"/>
    <s v="Grocery"/>
    <s v="Snacks"/>
    <s v="Butter Biscuits"/>
    <n v="26"/>
    <n v="120"/>
    <n v="0.1"/>
    <n v="2808"/>
    <n v="1740.96"/>
    <x v="141"/>
    <n v="0.38"/>
    <x v="1"/>
    <s v="Same Day"/>
    <n v="0"/>
    <x v="0"/>
  </r>
  <r>
    <s v="ORD20250143"/>
    <s v="2025-10-26"/>
    <s v="Oct"/>
    <s v="Q4"/>
    <n v="2025"/>
    <s v="South"/>
    <s v="Kerala"/>
    <s v="Kochi"/>
    <s v="Distributor"/>
    <s v="Home Office"/>
    <s v="Pooja Singh"/>
    <s v="Grocery"/>
    <s v="Snacks"/>
    <s v="Potato Chips Combo"/>
    <n v="13"/>
    <n v="156"/>
    <n v="0.12"/>
    <n v="1784.64"/>
    <n v="1142.17"/>
    <x v="142"/>
    <n v="0.36"/>
    <x v="3"/>
    <s v="Same Day"/>
    <n v="0"/>
    <x v="0"/>
  </r>
  <r>
    <s v="ORD20250144"/>
    <s v="2025-02-04"/>
    <s v="Feb"/>
    <s v="Q1"/>
    <n v="2025"/>
    <s v="South"/>
    <s v="Karnataka"/>
    <s v="Bengaluru"/>
    <s v="Retail Store"/>
    <s v="Home Office"/>
    <s v="Neha Verma"/>
    <s v="Electronics"/>
    <s v="Mobile"/>
    <s v="Samsung Galaxy A54"/>
    <n v="2"/>
    <n v="24065"/>
    <n v="0.05"/>
    <n v="45723.5"/>
    <n v="37493.269999999997"/>
    <x v="143"/>
    <n v="0.18"/>
    <x v="0"/>
    <s v="Express"/>
    <n v="1"/>
    <x v="1"/>
  </r>
  <r>
    <s v="ORD20250145"/>
    <s v="2025-10-08"/>
    <s v="Oct"/>
    <s v="Q4"/>
    <n v="2025"/>
    <s v="North"/>
    <s v="Rajasthan"/>
    <s v="Udaipur"/>
    <s v="Retail Store"/>
    <s v="Home Office"/>
    <s v="Neha Verma"/>
    <s v="Electronics"/>
    <s v="Laptop"/>
    <s v="Dell Inspiron 15"/>
    <n v="6"/>
    <n v="59510"/>
    <n v="0"/>
    <n v="357060"/>
    <n v="299930.40000000002"/>
    <x v="144"/>
    <n v="0.16"/>
    <x v="4"/>
    <s v="Express"/>
    <n v="2"/>
    <x v="1"/>
  </r>
  <r>
    <s v="ORD20250146"/>
    <s v="2025-10-13"/>
    <s v="Oct"/>
    <s v="Q4"/>
    <n v="2025"/>
    <s v="West"/>
    <s v="Goa"/>
    <s v="Panaji"/>
    <s v="Retail Store"/>
    <s v="Corporate"/>
    <s v="Priya Nair"/>
    <s v="Electronics"/>
    <s v="Accessories"/>
    <s v="Wireless Mouse"/>
    <n v="2"/>
    <n v="956"/>
    <n v="0.08"/>
    <n v="1759.04"/>
    <n v="1196.1500000000001"/>
    <x v="145"/>
    <n v="0.32"/>
    <x v="3"/>
    <s v="Same Day"/>
    <n v="0"/>
    <x v="2"/>
  </r>
  <r>
    <s v="ORD20250147"/>
    <s v="2025-05-20"/>
    <s v="May"/>
    <s v="Q2"/>
    <n v="2025"/>
    <s v="South"/>
    <s v="Kerala"/>
    <s v="Thiruvananthapuram"/>
    <s v="Distributor"/>
    <s v="Consumer"/>
    <s v="Sandeep Rao"/>
    <s v="Grocery"/>
    <s v="Beverages"/>
    <s v="Instant Coffee Jar"/>
    <n v="8"/>
    <n v="389"/>
    <n v="0.11"/>
    <n v="2769.68"/>
    <n v="1855.69"/>
    <x v="146"/>
    <n v="0.33"/>
    <x v="4"/>
    <s v="Standard"/>
    <n v="7"/>
    <x v="0"/>
  </r>
  <r>
    <s v="ORD20250148"/>
    <s v="2025-09-10"/>
    <s v="Sep"/>
    <s v="Q3"/>
    <n v="2025"/>
    <s v="East"/>
    <s v="Bihar"/>
    <s v="Patna"/>
    <s v="Online"/>
    <s v="Home Office"/>
    <s v="Rohit Jain"/>
    <s v="Furniture"/>
    <s v="Chair"/>
    <s v="Office Chair"/>
    <n v="1"/>
    <n v="5850"/>
    <n v="0.12"/>
    <n v="5148"/>
    <n v="3706.56"/>
    <x v="147"/>
    <n v="0.28000000000000003"/>
    <x v="0"/>
    <s v="Same Day"/>
    <n v="0"/>
    <x v="0"/>
  </r>
  <r>
    <s v="ORD20250149"/>
    <s v="2025-10-11"/>
    <s v="Oct"/>
    <s v="Q4"/>
    <n v="2025"/>
    <s v="West"/>
    <s v="Goa"/>
    <s v="Panaji"/>
    <s v="Online"/>
    <s v="Consumer"/>
    <s v="Simran Kaur"/>
    <s v="Furniture"/>
    <s v="Table"/>
    <s v="Study Table"/>
    <n v="3"/>
    <n v="5921"/>
    <n v="0.13"/>
    <n v="15453.81"/>
    <n v="10972.21"/>
    <x v="148"/>
    <n v="0.28999999999999998"/>
    <x v="0"/>
    <s v="Standard"/>
    <n v="3"/>
    <x v="0"/>
  </r>
  <r>
    <s v="ORD20250150"/>
    <s v="2025-03-23"/>
    <s v="Mar"/>
    <s v="Q1"/>
    <n v="2025"/>
    <s v="West"/>
    <s v="Maharashtra"/>
    <s v="Nagpur"/>
    <s v="Distributor"/>
    <s v="Corporate"/>
    <s v="Sandeep Rao"/>
    <s v="Electronics"/>
    <s v="Mobile"/>
    <s v="Samsung Galaxy A54"/>
    <n v="4"/>
    <n v="23000"/>
    <n v="0.08"/>
    <n v="84640"/>
    <n v="69404.800000000003"/>
    <x v="149"/>
    <n v="0.18"/>
    <x v="1"/>
    <s v="Express"/>
    <n v="3"/>
    <x v="1"/>
  </r>
  <r>
    <s v="ORD20250151"/>
    <s v="2025-12-19"/>
    <s v="Dec"/>
    <s v="Q4"/>
    <n v="2025"/>
    <s v="North"/>
    <s v="Punjab"/>
    <s v="Amritsar"/>
    <s v="Distributor"/>
    <s v="Home Office"/>
    <s v="Arjun Patel"/>
    <s v="Clothing"/>
    <s v="Men"/>
    <s v="Formal Shirt"/>
    <n v="9"/>
    <n v="1978"/>
    <n v="0.14000000000000001"/>
    <n v="15309.72"/>
    <n v="8879.64"/>
    <x v="150"/>
    <n v="0.42"/>
    <x v="0"/>
    <s v="Standard"/>
    <n v="3"/>
    <x v="1"/>
  </r>
  <r>
    <s v="ORD20250152"/>
    <s v="2025-12-21"/>
    <s v="Dec"/>
    <s v="Q4"/>
    <n v="2025"/>
    <s v="North"/>
    <s v="Rajasthan"/>
    <s v="Udaipur"/>
    <s v="Distributor"/>
    <s v="Corporate"/>
    <s v="Priya Nair"/>
    <s v="Electronics"/>
    <s v="Mobile"/>
    <s v="iPhone 14"/>
    <n v="6"/>
    <n v="70732"/>
    <n v="0.12"/>
    <n v="373464.96"/>
    <n v="328649.15999999997"/>
    <x v="151"/>
    <n v="0.12"/>
    <x v="0"/>
    <s v="Same Day"/>
    <n v="0"/>
    <x v="1"/>
  </r>
  <r>
    <s v="ORD20250153"/>
    <s v="2025-02-03"/>
    <s v="Feb"/>
    <s v="Q1"/>
    <n v="2025"/>
    <s v="East"/>
    <s v="Bihar"/>
    <s v="Patna"/>
    <s v="Online"/>
    <s v="Home Office"/>
    <s v="Neha Verma"/>
    <s v="Grocery"/>
    <s v="Beverages"/>
    <s v="Instant Coffee Jar"/>
    <n v="17"/>
    <n v="397"/>
    <n v="0.15"/>
    <n v="5736.65"/>
    <n v="3843.56"/>
    <x v="152"/>
    <n v="0.33"/>
    <x v="1"/>
    <s v="Standard"/>
    <n v="5"/>
    <x v="3"/>
  </r>
  <r>
    <s v="ORD20250154"/>
    <s v="2025-10-10"/>
    <s v="Oct"/>
    <s v="Q4"/>
    <n v="2025"/>
    <s v="South"/>
    <s v="Karnataka"/>
    <s v="Bengaluru"/>
    <s v="Distributor"/>
    <s v="Corporate"/>
    <s v="Kavya Iyer"/>
    <s v="Clothing"/>
    <s v="Men"/>
    <s v="Formal Shirt"/>
    <n v="4"/>
    <n v="2107"/>
    <n v="0.13"/>
    <n v="7332.36"/>
    <n v="4252.7700000000004"/>
    <x v="153"/>
    <n v="0.42"/>
    <x v="2"/>
    <s v="Standard"/>
    <n v="6"/>
    <x v="0"/>
  </r>
  <r>
    <s v="ORD20250155"/>
    <s v="2025-04-17"/>
    <s v="Apr"/>
    <s v="Q2"/>
    <n v="2025"/>
    <s v="South"/>
    <s v="Tamil Nadu"/>
    <s v="Chennai"/>
    <s v="Retail Store"/>
    <s v="Home Office"/>
    <s v="Simran Kaur"/>
    <s v="Clothing"/>
    <s v="Women"/>
    <s v="Western Dress"/>
    <n v="11"/>
    <n v="3606"/>
    <n v="0.06"/>
    <n v="37286.04"/>
    <n v="21253.040000000001"/>
    <x v="154"/>
    <n v="0.43"/>
    <x v="2"/>
    <s v="Standard"/>
    <n v="6"/>
    <x v="1"/>
  </r>
  <r>
    <s v="ORD20250156"/>
    <s v="2025-11-27"/>
    <s v="Nov"/>
    <s v="Q4"/>
    <n v="2025"/>
    <s v="East"/>
    <s v="Odisha"/>
    <s v="Bhubaneswar"/>
    <s v="Retail Store"/>
    <s v="Corporate"/>
    <s v="Rohit Jain"/>
    <s v="Furniture"/>
    <s v="Table"/>
    <s v="Study Table"/>
    <n v="2"/>
    <n v="7461"/>
    <n v="0.04"/>
    <n v="14325.12"/>
    <n v="10170.84"/>
    <x v="155"/>
    <n v="0.28999999999999998"/>
    <x v="2"/>
    <s v="Express"/>
    <n v="2"/>
    <x v="1"/>
  </r>
  <r>
    <s v="ORD20250157"/>
    <s v="2025-03-11"/>
    <s v="Mar"/>
    <s v="Q1"/>
    <n v="2025"/>
    <s v="North"/>
    <s v="Rajasthan"/>
    <s v="Jaipur"/>
    <s v="Distributor"/>
    <s v="Consumer"/>
    <s v="Amit Sharma"/>
    <s v="Furniture"/>
    <s v="Chair"/>
    <s v="Office Chair"/>
    <n v="2"/>
    <n v="6131"/>
    <n v="0.1"/>
    <n v="11035.8"/>
    <n v="7945.78"/>
    <x v="156"/>
    <n v="0.28000000000000003"/>
    <x v="0"/>
    <s v="Standard"/>
    <n v="4"/>
    <x v="0"/>
  </r>
  <r>
    <s v="ORD20250158"/>
    <s v="2025-06-15"/>
    <s v="Jun"/>
    <s v="Q2"/>
    <n v="2025"/>
    <s v="East"/>
    <s v="West Bengal"/>
    <s v="Siliguri"/>
    <s v="Retail Store"/>
    <s v="Corporate"/>
    <s v="Amit Sharma"/>
    <s v="Electronics"/>
    <s v="Mobile"/>
    <s v="Samsung Galaxy A54"/>
    <n v="1"/>
    <n v="27545"/>
    <n v="0.03"/>
    <n v="26718.65"/>
    <n v="21909.29"/>
    <x v="157"/>
    <n v="0.18"/>
    <x v="3"/>
    <s v="Express"/>
    <n v="1"/>
    <x v="3"/>
  </r>
  <r>
    <s v="ORD20250159"/>
    <s v="2025-02-06"/>
    <s v="Feb"/>
    <s v="Q1"/>
    <n v="2025"/>
    <s v="East"/>
    <s v="Bihar"/>
    <s v="Patna"/>
    <s v="Distributor"/>
    <s v="Corporate"/>
    <s v="Rahul Mehta"/>
    <s v="Electronics"/>
    <s v="Accessories"/>
    <s v="Mechanical Keyboard"/>
    <n v="5"/>
    <n v="4179"/>
    <n v="0.1"/>
    <n v="18805.5"/>
    <n v="13163.85"/>
    <x v="158"/>
    <n v="0.3"/>
    <x v="4"/>
    <s v="Standard"/>
    <n v="5"/>
    <x v="2"/>
  </r>
  <r>
    <s v="ORD20250160"/>
    <s v="2025-11-13"/>
    <s v="Nov"/>
    <s v="Q4"/>
    <n v="2025"/>
    <s v="North"/>
    <s v="Punjab"/>
    <s v="Amritsar"/>
    <s v="Online"/>
    <s v="Home Office"/>
    <s v="Sandeep Rao"/>
    <s v="Furniture"/>
    <s v="Table"/>
    <s v="Study Table"/>
    <n v="3"/>
    <n v="6366"/>
    <n v="0.15"/>
    <n v="16233.3"/>
    <n v="11525.64"/>
    <x v="159"/>
    <n v="0.28999999999999998"/>
    <x v="1"/>
    <s v="Same Day"/>
    <n v="0"/>
    <x v="1"/>
  </r>
  <r>
    <s v="ORD20250161"/>
    <s v="2025-04-16"/>
    <s v="Apr"/>
    <s v="Q2"/>
    <n v="2025"/>
    <s v="South"/>
    <s v="Tamil Nadu"/>
    <s v="Coimbatore"/>
    <s v="Online"/>
    <s v="Corporate"/>
    <s v="Sandeep Rao"/>
    <s v="Electronics"/>
    <s v="Mobile"/>
    <s v="Samsung Galaxy A54"/>
    <n v="2"/>
    <n v="23245"/>
    <n v="0.11"/>
    <n v="41376.1"/>
    <n v="33928.400000000001"/>
    <x v="160"/>
    <n v="0.18"/>
    <x v="1"/>
    <s v="Express"/>
    <n v="3"/>
    <x v="0"/>
  </r>
  <r>
    <s v="ORD20250162"/>
    <s v="2025-08-24"/>
    <s v="Aug"/>
    <s v="Q3"/>
    <n v="2025"/>
    <s v="East"/>
    <s v="Bihar"/>
    <s v="Patna"/>
    <s v="Distributor"/>
    <s v="Consumer"/>
    <s v="Kavya Iyer"/>
    <s v="Grocery"/>
    <s v="Beverages"/>
    <s v="Instant Coffee Jar"/>
    <n v="6"/>
    <n v="277"/>
    <n v="0.18"/>
    <n v="1362.84"/>
    <n v="913.1"/>
    <x v="161"/>
    <n v="0.33"/>
    <x v="4"/>
    <s v="Express"/>
    <n v="3"/>
    <x v="0"/>
  </r>
  <r>
    <s v="ORD20250163"/>
    <s v="2025-03-16"/>
    <s v="Mar"/>
    <s v="Q1"/>
    <n v="2025"/>
    <s v="North"/>
    <s v="Rajasthan"/>
    <s v="Udaipur"/>
    <s v="Distributor"/>
    <s v="Corporate"/>
    <s v="Sandeep Rao"/>
    <s v="Furniture"/>
    <s v="Chair"/>
    <s v="Gaming Chair"/>
    <n v="3"/>
    <n v="10436"/>
    <n v="0.16"/>
    <n v="26298.720000000001"/>
    <n v="19461.05"/>
    <x v="162"/>
    <n v="0.26"/>
    <x v="0"/>
    <s v="Standard"/>
    <n v="7"/>
    <x v="2"/>
  </r>
  <r>
    <s v="ORD20250164"/>
    <s v="2025-05-25"/>
    <s v="May"/>
    <s v="Q2"/>
    <n v="2025"/>
    <s v="East"/>
    <s v="Bihar"/>
    <s v="Patna"/>
    <s v="Retail Store"/>
    <s v="Home Office"/>
    <s v="Sandeep Rao"/>
    <s v="Clothing"/>
    <s v="Men"/>
    <s v="Denim Jeans"/>
    <n v="11"/>
    <n v="1661"/>
    <n v="0.02"/>
    <n v="17905.580000000002"/>
    <n v="10743.35"/>
    <x v="163"/>
    <n v="0.4"/>
    <x v="4"/>
    <s v="Standard"/>
    <n v="4"/>
    <x v="3"/>
  </r>
  <r>
    <s v="ORD20250165"/>
    <s v="2025-07-19"/>
    <s v="Jul"/>
    <s v="Q3"/>
    <n v="2025"/>
    <s v="East"/>
    <s v="Bihar"/>
    <s v="Patna"/>
    <s v="Distributor"/>
    <s v="Consumer"/>
    <s v="Neha Verma"/>
    <s v="Furniture"/>
    <s v="Chair"/>
    <s v="Office Chair"/>
    <n v="2"/>
    <n v="5469"/>
    <n v="0.14000000000000001"/>
    <n v="9406.68"/>
    <n v="6772.81"/>
    <x v="164"/>
    <n v="0.28000000000000003"/>
    <x v="4"/>
    <s v="Express"/>
    <n v="1"/>
    <x v="2"/>
  </r>
  <r>
    <s v="ORD20250166"/>
    <s v="2025-03-06"/>
    <s v="Mar"/>
    <s v="Q1"/>
    <n v="2025"/>
    <s v="North"/>
    <s v="Rajasthan"/>
    <s v="Udaipur"/>
    <s v="Online"/>
    <s v="Corporate"/>
    <s v="Arjun Patel"/>
    <s v="Furniture"/>
    <s v="Chair"/>
    <s v="Office Chair"/>
    <n v="1"/>
    <n v="5034"/>
    <n v="0.08"/>
    <n v="4631.28"/>
    <n v="3334.52"/>
    <x v="165"/>
    <n v="0.28000000000000003"/>
    <x v="3"/>
    <s v="Express"/>
    <n v="2"/>
    <x v="1"/>
  </r>
  <r>
    <s v="ORD20250167"/>
    <s v="2025-04-15"/>
    <s v="Apr"/>
    <s v="Q2"/>
    <n v="2025"/>
    <s v="East"/>
    <s v="West Bengal"/>
    <s v="Kolkata"/>
    <s v="Retail Store"/>
    <s v="Consumer"/>
    <s v="Priya Nair"/>
    <s v="Grocery"/>
    <s v="Snacks"/>
    <s v="Potato Chips Combo"/>
    <n v="25"/>
    <n v="161"/>
    <n v="0.01"/>
    <n v="3984.75"/>
    <n v="2550.2399999999998"/>
    <x v="166"/>
    <n v="0.36"/>
    <x v="1"/>
    <s v="Standard"/>
    <n v="7"/>
    <x v="0"/>
  </r>
  <r>
    <s v="ORD20250168"/>
    <s v="2025-01-02"/>
    <s v="Jan"/>
    <s v="Q1"/>
    <n v="2025"/>
    <s v="East"/>
    <s v="West Bengal"/>
    <s v="Siliguri"/>
    <s v="Distributor"/>
    <s v="Consumer"/>
    <s v="Pooja Singh"/>
    <s v="Furniture"/>
    <s v="Chair"/>
    <s v="Gaming Chair"/>
    <n v="2"/>
    <n v="14061"/>
    <n v="0.11"/>
    <n v="25028.58"/>
    <n v="18521.150000000001"/>
    <x v="167"/>
    <n v="0.26"/>
    <x v="1"/>
    <s v="Same Day"/>
    <n v="0"/>
    <x v="0"/>
  </r>
  <r>
    <s v="ORD20250169"/>
    <s v="2025-11-18"/>
    <s v="Nov"/>
    <s v="Q4"/>
    <n v="2025"/>
    <s v="East"/>
    <s v="Odisha"/>
    <s v="Bhubaneswar"/>
    <s v="Distributor"/>
    <s v="Home Office"/>
    <s v="Sandeep Rao"/>
    <s v="Furniture"/>
    <s v="Chair"/>
    <s v="Gaming Chair"/>
    <n v="3"/>
    <n v="15707"/>
    <n v="0.12"/>
    <n v="41466.480000000003"/>
    <n v="30685.200000000001"/>
    <x v="168"/>
    <n v="0.26"/>
    <x v="0"/>
    <s v="Same Day"/>
    <n v="0"/>
    <x v="0"/>
  </r>
  <r>
    <s v="ORD20250170"/>
    <s v="2025-05-18"/>
    <s v="May"/>
    <s v="Q2"/>
    <n v="2025"/>
    <s v="West"/>
    <s v="Gujarat"/>
    <s v="Surat"/>
    <s v="Distributor"/>
    <s v="Consumer"/>
    <s v="Neha Verma"/>
    <s v="Grocery"/>
    <s v="Snacks"/>
    <s v="Butter Biscuits"/>
    <n v="8"/>
    <n v="64"/>
    <n v="0.18"/>
    <n v="419.84"/>
    <n v="260.3"/>
    <x v="169"/>
    <n v="0.38"/>
    <x v="1"/>
    <s v="Same Day"/>
    <n v="0"/>
    <x v="3"/>
  </r>
  <r>
    <s v="ORD20250171"/>
    <s v="2025-03-05"/>
    <s v="Mar"/>
    <s v="Q1"/>
    <n v="2025"/>
    <s v="West"/>
    <s v="Goa"/>
    <s v="Panaji"/>
    <s v="Distributor"/>
    <s v="Corporate"/>
    <s v="Pooja Singh"/>
    <s v="Grocery"/>
    <s v="Beverages"/>
    <s v="Premium Tea Pack"/>
    <n v="9"/>
    <n v="327"/>
    <n v="0.13"/>
    <n v="2560.41"/>
    <n v="1689.87"/>
    <x v="170"/>
    <n v="0.34"/>
    <x v="3"/>
    <s v="Express"/>
    <n v="1"/>
    <x v="1"/>
  </r>
  <r>
    <s v="ORD20250172"/>
    <s v="2025-12-12"/>
    <s v="Dec"/>
    <s v="Q4"/>
    <n v="2025"/>
    <s v="South"/>
    <s v="Karnataka"/>
    <s v="Bengaluru"/>
    <s v="Distributor"/>
    <s v="Consumer"/>
    <s v="Kavya Iyer"/>
    <s v="Electronics"/>
    <s v="Accessories"/>
    <s v="Mechanical Keyboard"/>
    <n v="4"/>
    <n v="1932"/>
    <n v="0.09"/>
    <n v="7032.48"/>
    <n v="4922.74"/>
    <x v="171"/>
    <n v="0.3"/>
    <x v="1"/>
    <s v="Standard"/>
    <n v="7"/>
    <x v="0"/>
  </r>
  <r>
    <s v="ORD20250173"/>
    <s v="2025-02-04"/>
    <s v="Feb"/>
    <s v="Q1"/>
    <n v="2025"/>
    <s v="North"/>
    <s v="Rajasthan"/>
    <s v="Udaipur"/>
    <s v="Online"/>
    <s v="Corporate"/>
    <s v="Arjun Patel"/>
    <s v="Electronics"/>
    <s v="Accessories"/>
    <s v="Wireless Mouse"/>
    <n v="6"/>
    <n v="1492"/>
    <n v="0.11"/>
    <n v="7967.28"/>
    <n v="5417.75"/>
    <x v="172"/>
    <n v="0.32"/>
    <x v="3"/>
    <s v="Express"/>
    <n v="1"/>
    <x v="0"/>
  </r>
  <r>
    <s v="ORD20250174"/>
    <s v="2025-08-15"/>
    <s v="Aug"/>
    <s v="Q3"/>
    <n v="2025"/>
    <s v="West"/>
    <s v="Gujarat"/>
    <s v="Surat"/>
    <s v="Distributor"/>
    <s v="Corporate"/>
    <s v="Simran Kaur"/>
    <s v="Clothing"/>
    <s v="Men"/>
    <s v="Formal Shirt"/>
    <n v="10"/>
    <n v="1560"/>
    <n v="0.08"/>
    <n v="14352"/>
    <n v="8324.16"/>
    <x v="173"/>
    <n v="0.42"/>
    <x v="3"/>
    <s v="Standard"/>
    <n v="7"/>
    <x v="0"/>
  </r>
  <r>
    <s v="ORD20250175"/>
    <s v="2025-07-24"/>
    <s v="Jul"/>
    <s v="Q3"/>
    <n v="2025"/>
    <s v="North"/>
    <s v="Rajasthan"/>
    <s v="Jaipur"/>
    <s v="Online"/>
    <s v="Corporate"/>
    <s v="Sandeep Rao"/>
    <s v="Electronics"/>
    <s v="Laptop"/>
    <s v="Dell Inspiron 15"/>
    <n v="3"/>
    <n v="53423"/>
    <n v="0.15"/>
    <n v="136228.65"/>
    <n v="114432.07"/>
    <x v="174"/>
    <n v="0.16"/>
    <x v="2"/>
    <s v="Standard"/>
    <n v="7"/>
    <x v="2"/>
  </r>
  <r>
    <s v="ORD20250176"/>
    <s v="2025-03-11"/>
    <s v="Mar"/>
    <s v="Q1"/>
    <n v="2025"/>
    <s v="North"/>
    <s v="Delhi"/>
    <s v="New Delhi"/>
    <s v="Retail Store"/>
    <s v="Corporate"/>
    <s v="Neha Verma"/>
    <s v="Clothing"/>
    <s v="Men"/>
    <s v="Denim Jeans"/>
    <n v="7"/>
    <n v="2290"/>
    <n v="0.04"/>
    <n v="15388.8"/>
    <n v="9233.2800000000007"/>
    <x v="175"/>
    <n v="0.4"/>
    <x v="2"/>
    <s v="Express"/>
    <n v="3"/>
    <x v="0"/>
  </r>
  <r>
    <s v="ORD20250177"/>
    <s v="2025-02-10"/>
    <s v="Feb"/>
    <s v="Q1"/>
    <n v="2025"/>
    <s v="South"/>
    <s v="Tamil Nadu"/>
    <s v="Chennai"/>
    <s v="Retail Store"/>
    <s v="Consumer"/>
    <s v="Simran Kaur"/>
    <s v="Furniture"/>
    <s v="Table"/>
    <s v="Dining Table"/>
    <n v="2"/>
    <n v="27337"/>
    <n v="0.03"/>
    <n v="53033.78"/>
    <n v="40305.67"/>
    <x v="176"/>
    <n v="0.24"/>
    <x v="1"/>
    <s v="Standard"/>
    <n v="5"/>
    <x v="2"/>
  </r>
  <r>
    <s v="ORD20250178"/>
    <s v="2025-08-25"/>
    <s v="Aug"/>
    <s v="Q3"/>
    <n v="2025"/>
    <s v="West"/>
    <s v="Goa"/>
    <s v="Panaji"/>
    <s v="Distributor"/>
    <s v="Consumer"/>
    <s v="Rohit Jain"/>
    <s v="Clothing"/>
    <s v="Women"/>
    <s v="Silk Saree"/>
    <n v="6"/>
    <n v="3488"/>
    <n v="0.18"/>
    <n v="17160.96"/>
    <n v="10811.4"/>
    <x v="177"/>
    <n v="0.37"/>
    <x v="3"/>
    <s v="Standard"/>
    <n v="5"/>
    <x v="0"/>
  </r>
  <r>
    <s v="ORD20250179"/>
    <s v="2025-07-24"/>
    <s v="Jul"/>
    <s v="Q3"/>
    <n v="2025"/>
    <s v="South"/>
    <s v="Tamil Nadu"/>
    <s v="Chennai"/>
    <s v="Online"/>
    <s v="Corporate"/>
    <s v="Simran Kaur"/>
    <s v="Electronics"/>
    <s v="Accessories"/>
    <s v="Wireless Mouse"/>
    <n v="4"/>
    <n v="1482"/>
    <n v="0.06"/>
    <n v="5572.32"/>
    <n v="3789.18"/>
    <x v="178"/>
    <n v="0.32"/>
    <x v="0"/>
    <s v="Express"/>
    <n v="3"/>
    <x v="2"/>
  </r>
  <r>
    <s v="ORD20250180"/>
    <s v="2025-07-09"/>
    <s v="Jul"/>
    <s v="Q3"/>
    <n v="2025"/>
    <s v="North"/>
    <s v="Delhi"/>
    <s v="New Delhi"/>
    <s v="Online"/>
    <s v="Consumer"/>
    <s v="Rohit Jain"/>
    <s v="Clothing"/>
    <s v="Women"/>
    <s v="Silk Saree"/>
    <n v="10"/>
    <n v="4689"/>
    <n v="0.14000000000000001"/>
    <n v="40325.4"/>
    <n v="25405"/>
    <x v="179"/>
    <n v="0.37"/>
    <x v="0"/>
    <s v="Express"/>
    <n v="2"/>
    <x v="0"/>
  </r>
  <r>
    <s v="ORD20250181"/>
    <s v="2025-10-12"/>
    <s v="Oct"/>
    <s v="Q4"/>
    <n v="2025"/>
    <s v="North"/>
    <s v="Delhi"/>
    <s v="New Delhi"/>
    <s v="Distributor"/>
    <s v="Home Office"/>
    <s v="Amit Sharma"/>
    <s v="Clothing"/>
    <s v="Men"/>
    <s v="Denim Jeans"/>
    <n v="8"/>
    <n v="2091"/>
    <n v="0.18"/>
    <n v="13716.96"/>
    <n v="8230.18"/>
    <x v="180"/>
    <n v="0.4"/>
    <x v="1"/>
    <s v="Express"/>
    <n v="1"/>
    <x v="0"/>
  </r>
  <r>
    <s v="ORD20250182"/>
    <s v="2024-12-31"/>
    <s v="Jan"/>
    <s v="Q1"/>
    <n v="2025"/>
    <s v="North"/>
    <s v="Rajasthan"/>
    <s v="Udaipur"/>
    <s v="Online"/>
    <s v="Home Office"/>
    <s v="Arjun Patel"/>
    <s v="Furniture"/>
    <s v="Table"/>
    <s v="Study Table"/>
    <n v="2"/>
    <n v="10712"/>
    <n v="0.12"/>
    <n v="18853.12"/>
    <n v="13385.72"/>
    <x v="181"/>
    <n v="0.28999999999999998"/>
    <x v="3"/>
    <s v="Same Day"/>
    <n v="0"/>
    <x v="0"/>
  </r>
  <r>
    <s v="ORD20250183"/>
    <s v="2025-12-27"/>
    <s v="Dec"/>
    <s v="Q4"/>
    <n v="2025"/>
    <s v="East"/>
    <s v="West Bengal"/>
    <s v="Siliguri"/>
    <s v="Online"/>
    <s v="Consumer"/>
    <s v="Rahul Mehta"/>
    <s v="Grocery"/>
    <s v="Beverages"/>
    <s v="Instant Coffee Jar"/>
    <n v="16"/>
    <n v="452"/>
    <n v="0.1"/>
    <n v="6508.8"/>
    <n v="4360.8999999999996"/>
    <x v="182"/>
    <n v="0.33"/>
    <x v="1"/>
    <s v="Same Day"/>
    <n v="0"/>
    <x v="0"/>
  </r>
  <r>
    <s v="ORD20250184"/>
    <s v="2025-08-02"/>
    <s v="Aug"/>
    <s v="Q3"/>
    <n v="2025"/>
    <s v="West"/>
    <s v="Gujarat"/>
    <s v="Ahmedabad"/>
    <s v="Online"/>
    <s v="Corporate"/>
    <s v="Neha Verma"/>
    <s v="Electronics"/>
    <s v="Mobile"/>
    <s v="Samsung Galaxy A54"/>
    <n v="5"/>
    <n v="30800"/>
    <n v="0.08"/>
    <n v="141680"/>
    <n v="116177.60000000001"/>
    <x v="183"/>
    <n v="0.18"/>
    <x v="4"/>
    <s v="Express"/>
    <n v="3"/>
    <x v="0"/>
  </r>
  <r>
    <s v="ORD20250185"/>
    <s v="2025-06-24"/>
    <s v="Jun"/>
    <s v="Q2"/>
    <n v="2025"/>
    <s v="South"/>
    <s v="Tamil Nadu"/>
    <s v="Coimbatore"/>
    <s v="Distributor"/>
    <s v="Consumer"/>
    <s v="Pooja Singh"/>
    <s v="Electronics"/>
    <s v="Mobile"/>
    <s v="iPhone 14"/>
    <n v="2"/>
    <n v="59730"/>
    <n v="0.15"/>
    <n v="101541"/>
    <n v="89356.08"/>
    <x v="184"/>
    <n v="0.12"/>
    <x v="3"/>
    <s v="Same Day"/>
    <n v="0"/>
    <x v="2"/>
  </r>
  <r>
    <s v="ORD20250186"/>
    <s v="2025-05-03"/>
    <s v="May"/>
    <s v="Q2"/>
    <n v="2025"/>
    <s v="West"/>
    <s v="Goa"/>
    <s v="Panaji"/>
    <s v="Distributor"/>
    <s v="Corporate"/>
    <s v="Rohit Jain"/>
    <s v="Grocery"/>
    <s v="Beverages"/>
    <s v="Instant Coffee Jar"/>
    <n v="19"/>
    <n v="459"/>
    <n v="0.18"/>
    <n v="7151.22"/>
    <n v="4791.32"/>
    <x v="185"/>
    <n v="0.33"/>
    <x v="3"/>
    <s v="Same Day"/>
    <n v="0"/>
    <x v="3"/>
  </r>
  <r>
    <s v="ORD20250187"/>
    <s v="2025-09-27"/>
    <s v="Sep"/>
    <s v="Q3"/>
    <n v="2025"/>
    <s v="East"/>
    <s v="West Bengal"/>
    <s v="Siliguri"/>
    <s v="Online"/>
    <s v="Home Office"/>
    <s v="Sandeep Rao"/>
    <s v="Electronics"/>
    <s v="Mobile"/>
    <s v="iPhone 14"/>
    <n v="1"/>
    <n v="69386"/>
    <n v="0.12"/>
    <n v="61059.68"/>
    <n v="53732.52"/>
    <x v="186"/>
    <n v="0.12"/>
    <x v="2"/>
    <s v="Same Day"/>
    <n v="0"/>
    <x v="3"/>
  </r>
  <r>
    <s v="ORD20250188"/>
    <s v="2025-12-25"/>
    <s v="Dec"/>
    <s v="Q4"/>
    <n v="2025"/>
    <s v="South"/>
    <s v="Tamil Nadu"/>
    <s v="Coimbatore"/>
    <s v="Online"/>
    <s v="Consumer"/>
    <s v="Simran Kaur"/>
    <s v="Furniture"/>
    <s v="Table"/>
    <s v="Dining Table"/>
    <n v="1"/>
    <n v="19601"/>
    <n v="0.05"/>
    <n v="18620.95"/>
    <n v="14151.92"/>
    <x v="187"/>
    <n v="0.24"/>
    <x v="1"/>
    <s v="Standard"/>
    <n v="7"/>
    <x v="2"/>
  </r>
  <r>
    <s v="ORD20250189"/>
    <s v="2025-03-05"/>
    <s v="Mar"/>
    <s v="Q1"/>
    <n v="2025"/>
    <s v="West"/>
    <s v="Gujarat"/>
    <s v="Surat"/>
    <s v="Online"/>
    <s v="Corporate"/>
    <s v="Arjun Patel"/>
    <s v="Clothing"/>
    <s v="Women"/>
    <s v="Silk Saree"/>
    <n v="8"/>
    <n v="5628"/>
    <n v="0.06"/>
    <n v="42322.559999999998"/>
    <n v="26663.21"/>
    <x v="188"/>
    <n v="0.37"/>
    <x v="0"/>
    <s v="Standard"/>
    <n v="4"/>
    <x v="0"/>
  </r>
  <r>
    <s v="ORD20250190"/>
    <s v="2025-05-31"/>
    <s v="Jun"/>
    <s v="Q2"/>
    <n v="2025"/>
    <s v="East"/>
    <s v="Bihar"/>
    <s v="Patna"/>
    <s v="Online"/>
    <s v="Home Office"/>
    <s v="Rohit Jain"/>
    <s v="Electronics"/>
    <s v="Accessories"/>
    <s v="Mechanical Keyboard"/>
    <n v="3"/>
    <n v="1965"/>
    <n v="0.13"/>
    <n v="5128.6499999999996"/>
    <n v="3590.05"/>
    <x v="189"/>
    <n v="0.3"/>
    <x v="3"/>
    <s v="Express"/>
    <n v="3"/>
    <x v="0"/>
  </r>
  <r>
    <s v="ORD20250191"/>
    <s v="2025-09-17"/>
    <s v="Sep"/>
    <s v="Q3"/>
    <n v="2025"/>
    <s v="West"/>
    <s v="Maharashtra"/>
    <s v="Pune"/>
    <s v="Distributor"/>
    <s v="Corporate"/>
    <s v="Pooja Singh"/>
    <s v="Electronics"/>
    <s v="Mobile"/>
    <s v="Samsung Galaxy A54"/>
    <n v="3"/>
    <n v="31472"/>
    <n v="0.16"/>
    <n v="79309.440000000002"/>
    <n v="65033.74"/>
    <x v="190"/>
    <n v="0.18"/>
    <x v="1"/>
    <s v="Express"/>
    <n v="2"/>
    <x v="0"/>
  </r>
  <r>
    <s v="ORD20250192"/>
    <s v="2025-05-25"/>
    <s v="May"/>
    <s v="Q2"/>
    <n v="2025"/>
    <s v="East"/>
    <s v="Bihar"/>
    <s v="Patna"/>
    <s v="Online"/>
    <s v="Corporate"/>
    <s v="Amit Sharma"/>
    <s v="Clothing"/>
    <s v="Men"/>
    <s v="Formal Shirt"/>
    <n v="12"/>
    <n v="1812"/>
    <n v="0.13"/>
    <n v="18917.28"/>
    <n v="10972.02"/>
    <x v="191"/>
    <n v="0.42"/>
    <x v="0"/>
    <s v="Standard"/>
    <n v="7"/>
    <x v="1"/>
  </r>
  <r>
    <s v="ORD20250193"/>
    <s v="2025-06-05"/>
    <s v="Jun"/>
    <s v="Q2"/>
    <n v="2025"/>
    <s v="East"/>
    <s v="West Bengal"/>
    <s v="Siliguri"/>
    <s v="Retail Store"/>
    <s v="Home Office"/>
    <s v="Neha Verma"/>
    <s v="Electronics"/>
    <s v="Accessories"/>
    <s v="Mechanical Keyboard"/>
    <n v="6"/>
    <n v="2923"/>
    <n v="0.02"/>
    <n v="17187.240000000002"/>
    <n v="12031.07"/>
    <x v="192"/>
    <n v="0.3"/>
    <x v="4"/>
    <s v="Standard"/>
    <n v="4"/>
    <x v="3"/>
  </r>
  <r>
    <s v="ORD20250194"/>
    <s v="2025-07-19"/>
    <s v="Jul"/>
    <s v="Q3"/>
    <n v="2025"/>
    <s v="West"/>
    <s v="Gujarat"/>
    <s v="Ahmedabad"/>
    <s v="Online"/>
    <s v="Home Office"/>
    <s v="Rohit Jain"/>
    <s v="Grocery"/>
    <s v="Snacks"/>
    <s v="Potato Chips Combo"/>
    <n v="30"/>
    <n v="104"/>
    <n v="0.11"/>
    <n v="2776.8"/>
    <n v="1777.15"/>
    <x v="193"/>
    <n v="0.36"/>
    <x v="3"/>
    <s v="Same Day"/>
    <n v="0"/>
    <x v="1"/>
  </r>
  <r>
    <s v="ORD20250195"/>
    <s v="2025-07-11"/>
    <s v="Jul"/>
    <s v="Q3"/>
    <n v="2025"/>
    <s v="South"/>
    <s v="Kerala"/>
    <s v="Kochi"/>
    <s v="Online"/>
    <s v="Corporate"/>
    <s v="Arjun Patel"/>
    <s v="Grocery"/>
    <s v="Snacks"/>
    <s v="Butter Biscuits"/>
    <n v="21"/>
    <n v="74"/>
    <n v="0.06"/>
    <n v="1460.76"/>
    <n v="905.67"/>
    <x v="194"/>
    <n v="0.38"/>
    <x v="1"/>
    <s v="Standard"/>
    <n v="7"/>
    <x v="0"/>
  </r>
  <r>
    <s v="ORD20250196"/>
    <s v="2025-05-04"/>
    <s v="May"/>
    <s v="Q2"/>
    <n v="2025"/>
    <s v="East"/>
    <s v="Bihar"/>
    <s v="Patna"/>
    <s v="Online"/>
    <s v="Consumer"/>
    <s v="Sandeep Rao"/>
    <s v="Electronics"/>
    <s v="Laptop"/>
    <s v="HP Pavilion"/>
    <n v="1"/>
    <n v="54566"/>
    <n v="0.06"/>
    <n v="51292.04"/>
    <n v="43598.23"/>
    <x v="195"/>
    <n v="0.15"/>
    <x v="1"/>
    <s v="Same Day"/>
    <n v="0"/>
    <x v="3"/>
  </r>
  <r>
    <s v="ORD20250197"/>
    <s v="2025-03-27"/>
    <s v="Mar"/>
    <s v="Q1"/>
    <n v="2025"/>
    <s v="East"/>
    <s v="Odisha"/>
    <s v="Bhubaneswar"/>
    <s v="Online"/>
    <s v="Home Office"/>
    <s v="Arjun Patel"/>
    <s v="Electronics"/>
    <s v="Accessories"/>
    <s v="Wireless Mouse"/>
    <n v="5"/>
    <n v="1329"/>
    <n v="0.06"/>
    <n v="6246.3"/>
    <n v="4247.4799999999996"/>
    <x v="196"/>
    <n v="0.32"/>
    <x v="1"/>
    <s v="Express"/>
    <n v="3"/>
    <x v="0"/>
  </r>
  <r>
    <s v="ORD20250198"/>
    <s v="2025-07-15"/>
    <s v="Jul"/>
    <s v="Q3"/>
    <n v="2025"/>
    <s v="East"/>
    <s v="Bihar"/>
    <s v="Patna"/>
    <s v="Retail Store"/>
    <s v="Consumer"/>
    <s v="Amit Sharma"/>
    <s v="Clothing"/>
    <s v="Women"/>
    <s v="Western Dress"/>
    <n v="10"/>
    <n v="2466"/>
    <n v="0.04"/>
    <n v="23673.599999999999"/>
    <n v="13493.95"/>
    <x v="197"/>
    <n v="0.43"/>
    <x v="4"/>
    <s v="Standard"/>
    <n v="4"/>
    <x v="3"/>
  </r>
  <r>
    <s v="ORD20250199"/>
    <s v="2025-07-06"/>
    <s v="Jul"/>
    <s v="Q3"/>
    <n v="2025"/>
    <s v="North"/>
    <s v="Punjab"/>
    <s v="Amritsar"/>
    <s v="Online"/>
    <s v="Consumer"/>
    <s v="Rohit Jain"/>
    <s v="Clothing"/>
    <s v="Men"/>
    <s v="Denim Jeans"/>
    <n v="11"/>
    <n v="2686"/>
    <n v="0.14000000000000001"/>
    <n v="25409.56"/>
    <n v="15245.74"/>
    <x v="198"/>
    <n v="0.4"/>
    <x v="2"/>
    <s v="Express"/>
    <n v="3"/>
    <x v="0"/>
  </r>
  <r>
    <s v="ORD20250200"/>
    <s v="2025-10-20"/>
    <s v="Oct"/>
    <s v="Q4"/>
    <n v="2025"/>
    <s v="East"/>
    <s v="West Bengal"/>
    <s v="Kolkata"/>
    <s v="Online"/>
    <s v="Corporate"/>
    <s v="Sandeep Rao"/>
    <s v="Electronics"/>
    <s v="Accessories"/>
    <s v="Mechanical Keyboard"/>
    <n v="4"/>
    <n v="2735"/>
    <n v="0.08"/>
    <n v="10064.799999999999"/>
    <n v="7045.36"/>
    <x v="199"/>
    <n v="0.3"/>
    <x v="3"/>
    <s v="Standard"/>
    <n v="4"/>
    <x v="0"/>
  </r>
  <r>
    <s v="ORD20250201"/>
    <s v="2025-06-22"/>
    <s v="Jun"/>
    <s v="Q2"/>
    <n v="2025"/>
    <s v="East"/>
    <s v="Bihar"/>
    <s v="Patna"/>
    <s v="Distributor"/>
    <s v="Consumer"/>
    <s v="Simran Kaur"/>
    <s v="Grocery"/>
    <s v="Beverages"/>
    <s v="Instant Coffee Jar"/>
    <n v="6"/>
    <n v="369"/>
    <n v="0.11"/>
    <n v="1970.46"/>
    <n v="1320.21"/>
    <x v="200"/>
    <n v="0.33"/>
    <x v="4"/>
    <s v="Express"/>
    <n v="1"/>
    <x v="3"/>
  </r>
  <r>
    <s v="ORD20250202"/>
    <s v="2025-10-03"/>
    <s v="Oct"/>
    <s v="Q4"/>
    <n v="2025"/>
    <s v="South"/>
    <s v="Karnataka"/>
    <s v="Mysuru"/>
    <s v="Distributor"/>
    <s v="Home Office"/>
    <s v="Amit Sharma"/>
    <s v="Grocery"/>
    <s v="Beverages"/>
    <s v="Premium Tea Pack"/>
    <n v="10"/>
    <n v="401"/>
    <n v="0.14000000000000001"/>
    <n v="3448.6"/>
    <n v="2276.08"/>
    <x v="201"/>
    <n v="0.34"/>
    <x v="2"/>
    <s v="Standard"/>
    <n v="7"/>
    <x v="0"/>
  </r>
  <r>
    <s v="ORD20250203"/>
    <s v="2025-09-11"/>
    <s v="Sep"/>
    <s v="Q3"/>
    <n v="2025"/>
    <s v="East"/>
    <s v="West Bengal"/>
    <s v="Kolkata"/>
    <s v="Online"/>
    <s v="Corporate"/>
    <s v="Neha Verma"/>
    <s v="Electronics"/>
    <s v="Laptop"/>
    <s v="HP Pavilion"/>
    <n v="3"/>
    <n v="60121"/>
    <n v="0.06"/>
    <n v="169541.22"/>
    <n v="144110.04"/>
    <x v="202"/>
    <n v="0.15"/>
    <x v="2"/>
    <s v="Express"/>
    <n v="1"/>
    <x v="1"/>
  </r>
  <r>
    <s v="ORD20250204"/>
    <s v="2025-07-04"/>
    <s v="Jul"/>
    <s v="Q3"/>
    <n v="2025"/>
    <s v="South"/>
    <s v="Telangana"/>
    <s v="Hyderabad"/>
    <s v="Online"/>
    <s v="Consumer"/>
    <s v="Priya Nair"/>
    <s v="Grocery"/>
    <s v="Snacks"/>
    <s v="Butter Biscuits"/>
    <n v="30"/>
    <n v="111"/>
    <n v="0.15"/>
    <n v="2830.5"/>
    <n v="1754.91"/>
    <x v="203"/>
    <n v="0.38"/>
    <x v="0"/>
    <s v="Express"/>
    <n v="3"/>
    <x v="0"/>
  </r>
  <r>
    <s v="ORD20250205"/>
    <s v="2025-01-24"/>
    <s v="Jan"/>
    <s v="Q1"/>
    <n v="2025"/>
    <s v="South"/>
    <s v="Tamil Nadu"/>
    <s v="Coimbatore"/>
    <s v="Online"/>
    <s v="Consumer"/>
    <s v="Amit Sharma"/>
    <s v="Furniture"/>
    <s v="Chair"/>
    <s v="Gaming Chair"/>
    <n v="1"/>
    <n v="10351"/>
    <n v="0.06"/>
    <n v="9729.94"/>
    <n v="7200.16"/>
    <x v="204"/>
    <n v="0.26"/>
    <x v="3"/>
    <s v="Express"/>
    <n v="2"/>
    <x v="0"/>
  </r>
  <r>
    <s v="ORD20250206"/>
    <s v="2025-04-11"/>
    <s v="Apr"/>
    <s v="Q2"/>
    <n v="2025"/>
    <s v="East"/>
    <s v="West Bengal"/>
    <s v="Siliguri"/>
    <s v="Retail Store"/>
    <s v="Home Office"/>
    <s v="Neha Verma"/>
    <s v="Grocery"/>
    <s v="Beverages"/>
    <s v="Instant Coffee Jar"/>
    <n v="11"/>
    <n v="410"/>
    <n v="0.06"/>
    <n v="4239.3999999999996"/>
    <n v="2840.4"/>
    <x v="205"/>
    <n v="0.33"/>
    <x v="3"/>
    <s v="Standard"/>
    <n v="3"/>
    <x v="0"/>
  </r>
  <r>
    <s v="ORD20250207"/>
    <s v="2025-05-21"/>
    <s v="May"/>
    <s v="Q2"/>
    <n v="2025"/>
    <s v="East"/>
    <s v="Odisha"/>
    <s v="Bhubaneswar"/>
    <s v="Online"/>
    <s v="Home Office"/>
    <s v="Rohit Jain"/>
    <s v="Grocery"/>
    <s v="Beverages"/>
    <s v="Premium Tea Pack"/>
    <n v="8"/>
    <n v="203"/>
    <n v="0.11"/>
    <n v="1445.36"/>
    <n v="953.94"/>
    <x v="206"/>
    <n v="0.34"/>
    <x v="1"/>
    <s v="Same Day"/>
    <n v="0"/>
    <x v="0"/>
  </r>
  <r>
    <s v="ORD20250208"/>
    <s v="2025-06-22"/>
    <s v="Jun"/>
    <s v="Q2"/>
    <n v="2025"/>
    <s v="South"/>
    <s v="Telangana"/>
    <s v="Hyderabad"/>
    <s v="Retail Store"/>
    <s v="Consumer"/>
    <s v="Rohit Jain"/>
    <s v="Grocery"/>
    <s v="Snacks"/>
    <s v="Potato Chips Combo"/>
    <n v="8"/>
    <n v="116"/>
    <n v="0.06"/>
    <n v="872.32"/>
    <n v="558.28"/>
    <x v="207"/>
    <n v="0.36"/>
    <x v="1"/>
    <s v="Standard"/>
    <n v="5"/>
    <x v="0"/>
  </r>
  <r>
    <s v="ORD20250209"/>
    <s v="2025-05-12"/>
    <s v="May"/>
    <s v="Q2"/>
    <n v="2025"/>
    <s v="South"/>
    <s v="Tamil Nadu"/>
    <s v="Chennai"/>
    <s v="Distributor"/>
    <s v="Corporate"/>
    <s v="Amit Sharma"/>
    <s v="Electronics"/>
    <s v="Laptop"/>
    <s v="Dell Inspiron 15"/>
    <n v="1"/>
    <n v="51699"/>
    <n v="0.12"/>
    <n v="45495.12"/>
    <n v="38215.9"/>
    <x v="208"/>
    <n v="0.16"/>
    <x v="0"/>
    <s v="Standard"/>
    <n v="4"/>
    <x v="3"/>
  </r>
  <r>
    <s v="ORD20250210"/>
    <s v="2025-07-20"/>
    <s v="Jul"/>
    <s v="Q3"/>
    <n v="2025"/>
    <s v="West"/>
    <s v="Maharashtra"/>
    <s v="Nagpur"/>
    <s v="Retail Store"/>
    <s v="Consumer"/>
    <s v="Simran Kaur"/>
    <s v="Clothing"/>
    <s v="Men"/>
    <s v="Denim Jeans"/>
    <n v="5"/>
    <n v="2467"/>
    <n v="0.09"/>
    <n v="11224.85"/>
    <n v="6734.91"/>
    <x v="209"/>
    <n v="0.4"/>
    <x v="3"/>
    <s v="Same Day"/>
    <n v="0"/>
    <x v="0"/>
  </r>
  <r>
    <s v="ORD20250211"/>
    <s v="2025-05-04"/>
    <s v="May"/>
    <s v="Q2"/>
    <n v="2025"/>
    <s v="North"/>
    <s v="Delhi"/>
    <s v="New Delhi"/>
    <s v="Retail Store"/>
    <s v="Corporate"/>
    <s v="Simran Kaur"/>
    <s v="Electronics"/>
    <s v="Mobile"/>
    <s v="iPhone 14"/>
    <n v="3"/>
    <n v="59118"/>
    <n v="0.1"/>
    <n v="159618.6"/>
    <n v="140464.37"/>
    <x v="210"/>
    <n v="0.12"/>
    <x v="1"/>
    <s v="Standard"/>
    <n v="6"/>
    <x v="1"/>
  </r>
  <r>
    <s v="ORD20250212"/>
    <s v="2025-07-31"/>
    <s v="Aug"/>
    <s v="Q3"/>
    <n v="2025"/>
    <s v="South"/>
    <s v="Tamil Nadu"/>
    <s v="Coimbatore"/>
    <s v="Online"/>
    <s v="Consumer"/>
    <s v="Rohit Jain"/>
    <s v="Furniture"/>
    <s v="Table"/>
    <s v="Study Table"/>
    <n v="3"/>
    <n v="10736"/>
    <n v="7.0000000000000007E-2"/>
    <n v="29953.439999999999"/>
    <n v="21266.94"/>
    <x v="211"/>
    <n v="0.28999999999999998"/>
    <x v="4"/>
    <s v="Standard"/>
    <n v="7"/>
    <x v="0"/>
  </r>
  <r>
    <s v="ORD20250213"/>
    <s v="2025-04-15"/>
    <s v="Apr"/>
    <s v="Q2"/>
    <n v="2025"/>
    <s v="West"/>
    <s v="Goa"/>
    <s v="Panaji"/>
    <s v="Online"/>
    <s v="Home Office"/>
    <s v="Rohit Jain"/>
    <s v="Electronics"/>
    <s v="Accessories"/>
    <s v="Mechanical Keyboard"/>
    <n v="6"/>
    <n v="3202"/>
    <n v="0.12"/>
    <n v="16906.560000000001"/>
    <n v="11834.59"/>
    <x v="212"/>
    <n v="0.3"/>
    <x v="3"/>
    <s v="Same Day"/>
    <n v="0"/>
    <x v="1"/>
  </r>
  <r>
    <s v="ORD20250214"/>
    <s v="2025-09-25"/>
    <s v="Sep"/>
    <s v="Q3"/>
    <n v="2025"/>
    <s v="West"/>
    <s v="Maharashtra"/>
    <s v="Pune"/>
    <s v="Retail Store"/>
    <s v="Corporate"/>
    <s v="Priya Nair"/>
    <s v="Furniture"/>
    <s v="Chair"/>
    <s v="Gaming Chair"/>
    <n v="1"/>
    <n v="8705"/>
    <n v="0.01"/>
    <n v="8617.9500000000007"/>
    <n v="6377.28"/>
    <x v="213"/>
    <n v="0.26"/>
    <x v="1"/>
    <s v="Standard"/>
    <n v="3"/>
    <x v="1"/>
  </r>
  <r>
    <s v="ORD20250215"/>
    <s v="2025-03-11"/>
    <s v="Mar"/>
    <s v="Q1"/>
    <n v="2025"/>
    <s v="North"/>
    <s v="Rajasthan"/>
    <s v="Udaipur"/>
    <s v="Distributor"/>
    <s v="Consumer"/>
    <s v="Rahul Mehta"/>
    <s v="Furniture"/>
    <s v="Table"/>
    <s v="Dining Table"/>
    <n v="1"/>
    <n v="22711"/>
    <n v="0.18"/>
    <n v="18623.02"/>
    <n v="14153.5"/>
    <x v="214"/>
    <n v="0.24"/>
    <x v="2"/>
    <s v="Same Day"/>
    <n v="0"/>
    <x v="0"/>
  </r>
  <r>
    <s v="ORD20250216"/>
    <s v="2025-03-01"/>
    <s v="Mar"/>
    <s v="Q1"/>
    <n v="2025"/>
    <s v="North"/>
    <s v="Uttar Pradesh"/>
    <s v="Lucknow"/>
    <s v="Retail Store"/>
    <s v="Corporate"/>
    <s v="Kavya Iyer"/>
    <s v="Clothing"/>
    <s v="Women"/>
    <s v="Silk Saree"/>
    <n v="3"/>
    <n v="4688"/>
    <n v="0.04"/>
    <n v="13501.44"/>
    <n v="8505.91"/>
    <x v="215"/>
    <n v="0.37"/>
    <x v="0"/>
    <s v="Same Day"/>
    <n v="0"/>
    <x v="1"/>
  </r>
  <r>
    <s v="ORD20250217"/>
    <s v="2025-09-25"/>
    <s v="Sep"/>
    <s v="Q3"/>
    <n v="2025"/>
    <s v="West"/>
    <s v="Goa"/>
    <s v="Panaji"/>
    <s v="Retail Store"/>
    <s v="Consumer"/>
    <s v="Sandeep Rao"/>
    <s v="Grocery"/>
    <s v="Beverages"/>
    <s v="Premium Tea Pack"/>
    <n v="23"/>
    <n v="189"/>
    <n v="0.01"/>
    <n v="4303.53"/>
    <n v="2840.33"/>
    <x v="216"/>
    <n v="0.34"/>
    <x v="3"/>
    <s v="Standard"/>
    <n v="3"/>
    <x v="0"/>
  </r>
  <r>
    <s v="ORD20250218"/>
    <s v="2025-08-27"/>
    <s v="Aug"/>
    <s v="Q3"/>
    <n v="2025"/>
    <s v="East"/>
    <s v="Odisha"/>
    <s v="Bhubaneswar"/>
    <s v="Online"/>
    <s v="Home Office"/>
    <s v="Kavya Iyer"/>
    <s v="Furniture"/>
    <s v="Table"/>
    <s v="Dining Table"/>
    <n v="2"/>
    <n v="16258"/>
    <n v="0.09"/>
    <n v="29589.56"/>
    <n v="22488.07"/>
    <x v="217"/>
    <n v="0.24"/>
    <x v="2"/>
    <s v="Standard"/>
    <n v="3"/>
    <x v="2"/>
  </r>
  <r>
    <s v="ORD20250219"/>
    <s v="2025-08-19"/>
    <s v="Aug"/>
    <s v="Q3"/>
    <n v="2025"/>
    <s v="West"/>
    <s v="Goa"/>
    <s v="Panaji"/>
    <s v="Distributor"/>
    <s v="Consumer"/>
    <s v="Neha Verma"/>
    <s v="Furniture"/>
    <s v="Table"/>
    <s v="Study Table"/>
    <n v="1"/>
    <n v="8175"/>
    <n v="0.09"/>
    <n v="7439.25"/>
    <n v="5281.87"/>
    <x v="218"/>
    <n v="0.28999999999999998"/>
    <x v="2"/>
    <s v="Standard"/>
    <n v="6"/>
    <x v="0"/>
  </r>
  <r>
    <s v="ORD20250220"/>
    <s v="2025-03-09"/>
    <s v="Mar"/>
    <s v="Q1"/>
    <n v="2025"/>
    <s v="West"/>
    <s v="Maharashtra"/>
    <s v="Pune"/>
    <s v="Online"/>
    <s v="Consumer"/>
    <s v="Pooja Singh"/>
    <s v="Clothing"/>
    <s v="Women"/>
    <s v="Western Dress"/>
    <n v="10"/>
    <n v="4330"/>
    <n v="0.06"/>
    <n v="40702"/>
    <n v="23200.14"/>
    <x v="219"/>
    <n v="0.43"/>
    <x v="1"/>
    <s v="Standard"/>
    <n v="4"/>
    <x v="0"/>
  </r>
  <r>
    <s v="ORD20250221"/>
    <s v="2025-05-01"/>
    <s v="May"/>
    <s v="Q2"/>
    <n v="2025"/>
    <s v="West"/>
    <s v="Maharashtra"/>
    <s v="Nagpur"/>
    <s v="Online"/>
    <s v="Home Office"/>
    <s v="Simran Kaur"/>
    <s v="Electronics"/>
    <s v="Mobile"/>
    <s v="iPhone 14"/>
    <n v="5"/>
    <n v="60419"/>
    <n v="0.11"/>
    <n v="268864.55"/>
    <n v="236600.8"/>
    <x v="220"/>
    <n v="0.12"/>
    <x v="4"/>
    <s v="Express"/>
    <n v="1"/>
    <x v="2"/>
  </r>
  <r>
    <s v="ORD20250222"/>
    <s v="2025-10-08"/>
    <s v="Oct"/>
    <s v="Q4"/>
    <n v="2025"/>
    <s v="East"/>
    <s v="Odisha"/>
    <s v="Bhubaneswar"/>
    <s v="Online"/>
    <s v="Consumer"/>
    <s v="Rahul Mehta"/>
    <s v="Clothing"/>
    <s v="Women"/>
    <s v="Silk Saree"/>
    <n v="9"/>
    <n v="7327"/>
    <n v="0.15"/>
    <n v="56051.55"/>
    <n v="35312.480000000003"/>
    <x v="221"/>
    <n v="0.37"/>
    <x v="0"/>
    <s v="Standard"/>
    <n v="3"/>
    <x v="0"/>
  </r>
  <r>
    <s v="ORD20250223"/>
    <s v="2025-04-09"/>
    <s v="Apr"/>
    <s v="Q2"/>
    <n v="2025"/>
    <s v="South"/>
    <s v="Telangana"/>
    <s v="Hyderabad"/>
    <s v="Online"/>
    <s v="Consumer"/>
    <s v="Arjun Patel"/>
    <s v="Clothing"/>
    <s v="Women"/>
    <s v="Silk Saree"/>
    <n v="4"/>
    <n v="5871"/>
    <n v="0.08"/>
    <n v="21605.279999999999"/>
    <n v="13611.33"/>
    <x v="222"/>
    <n v="0.37"/>
    <x v="0"/>
    <s v="Express"/>
    <n v="1"/>
    <x v="0"/>
  </r>
  <r>
    <s v="ORD20250224"/>
    <s v="2025-04-08"/>
    <s v="Apr"/>
    <s v="Q2"/>
    <n v="2025"/>
    <s v="North"/>
    <s v="Rajasthan"/>
    <s v="Udaipur"/>
    <s v="Retail Store"/>
    <s v="Corporate"/>
    <s v="Kavya Iyer"/>
    <s v="Clothing"/>
    <s v="Men"/>
    <s v="Denim Jeans"/>
    <n v="4"/>
    <n v="1570"/>
    <n v="0.09"/>
    <n v="5714.8"/>
    <n v="3428.88"/>
    <x v="223"/>
    <n v="0.4"/>
    <x v="0"/>
    <s v="Express"/>
    <n v="1"/>
    <x v="0"/>
  </r>
  <r>
    <s v="ORD20250225"/>
    <s v="2025-03-15"/>
    <s v="Mar"/>
    <s v="Q1"/>
    <n v="2025"/>
    <s v="South"/>
    <s v="Kerala"/>
    <s v="Kochi"/>
    <s v="Online"/>
    <s v="Home Office"/>
    <s v="Amit Sharma"/>
    <s v="Grocery"/>
    <s v="Beverages"/>
    <s v="Premium Tea Pack"/>
    <n v="26"/>
    <n v="406"/>
    <n v="0.09"/>
    <n v="9605.9599999999991"/>
    <n v="6339.93"/>
    <x v="224"/>
    <n v="0.34"/>
    <x v="4"/>
    <s v="Express"/>
    <n v="2"/>
    <x v="2"/>
  </r>
  <r>
    <s v="ORD20250226"/>
    <s v="2025-05-22"/>
    <s v="May"/>
    <s v="Q2"/>
    <n v="2025"/>
    <s v="North"/>
    <s v="Rajasthan"/>
    <s v="Udaipur"/>
    <s v="Online"/>
    <s v="Corporate"/>
    <s v="Pooja Singh"/>
    <s v="Electronics"/>
    <s v="Mobile"/>
    <s v="iPhone 14"/>
    <n v="6"/>
    <n v="66788"/>
    <n v="0.11"/>
    <n v="356647.92"/>
    <n v="313850.17"/>
    <x v="225"/>
    <n v="0.12"/>
    <x v="3"/>
    <s v="Standard"/>
    <n v="6"/>
    <x v="0"/>
  </r>
  <r>
    <s v="ORD20250227"/>
    <s v="2025-01-15"/>
    <s v="Jan"/>
    <s v="Q1"/>
    <n v="2025"/>
    <s v="West"/>
    <s v="Gujarat"/>
    <s v="Ahmedabad"/>
    <s v="Distributor"/>
    <s v="Consumer"/>
    <s v="Rohit Jain"/>
    <s v="Furniture"/>
    <s v="Chair"/>
    <s v="Office Chair"/>
    <n v="1"/>
    <n v="5862"/>
    <n v="0.09"/>
    <n v="5334.42"/>
    <n v="3840.78"/>
    <x v="226"/>
    <n v="0.28000000000000003"/>
    <x v="2"/>
    <s v="Express"/>
    <n v="1"/>
    <x v="1"/>
  </r>
  <r>
    <s v="ORD20250228"/>
    <s v="2025-12-21"/>
    <s v="Dec"/>
    <s v="Q4"/>
    <n v="2025"/>
    <s v="East"/>
    <s v="West Bengal"/>
    <s v="Kolkata"/>
    <s v="Distributor"/>
    <s v="Home Office"/>
    <s v="Neha Verma"/>
    <s v="Clothing"/>
    <s v="Men"/>
    <s v="Formal Shirt"/>
    <n v="2"/>
    <n v="1975"/>
    <n v="0.18"/>
    <n v="3239"/>
    <n v="1878.62"/>
    <x v="227"/>
    <n v="0.42"/>
    <x v="0"/>
    <s v="Express"/>
    <n v="1"/>
    <x v="3"/>
  </r>
  <r>
    <s v="ORD20250229"/>
    <s v="2025-02-11"/>
    <s v="Feb"/>
    <s v="Q1"/>
    <n v="2025"/>
    <s v="West"/>
    <s v="Goa"/>
    <s v="Panaji"/>
    <s v="Retail Store"/>
    <s v="Home Office"/>
    <s v="Priya Nair"/>
    <s v="Clothing"/>
    <s v="Men"/>
    <s v="Formal Shirt"/>
    <n v="4"/>
    <n v="1794"/>
    <n v="0.06"/>
    <n v="6745.44"/>
    <n v="3912.36"/>
    <x v="228"/>
    <n v="0.42"/>
    <x v="2"/>
    <s v="Same Day"/>
    <n v="0"/>
    <x v="2"/>
  </r>
  <r>
    <s v="ORD20250230"/>
    <s v="2025-09-09"/>
    <s v="Sep"/>
    <s v="Q3"/>
    <n v="2025"/>
    <s v="West"/>
    <s v="Goa"/>
    <s v="Panaji"/>
    <s v="Retail Store"/>
    <s v="Home Office"/>
    <s v="Kavya Iyer"/>
    <s v="Clothing"/>
    <s v="Men"/>
    <s v="Denim Jeans"/>
    <n v="4"/>
    <n v="2854"/>
    <n v="0.03"/>
    <n v="11073.52"/>
    <n v="6644.11"/>
    <x v="229"/>
    <n v="0.4"/>
    <x v="1"/>
    <s v="Express"/>
    <n v="2"/>
    <x v="0"/>
  </r>
  <r>
    <s v="ORD20250231"/>
    <s v="2025-07-14"/>
    <s v="Jul"/>
    <s v="Q3"/>
    <n v="2025"/>
    <s v="West"/>
    <s v="Goa"/>
    <s v="Panaji"/>
    <s v="Distributor"/>
    <s v="Home Office"/>
    <s v="Priya Nair"/>
    <s v="Clothing"/>
    <s v="Men"/>
    <s v="Formal Shirt"/>
    <n v="9"/>
    <n v="1378"/>
    <n v="0.14000000000000001"/>
    <n v="10665.72"/>
    <n v="6186.12"/>
    <x v="230"/>
    <n v="0.42"/>
    <x v="3"/>
    <s v="Same Day"/>
    <n v="0"/>
    <x v="0"/>
  </r>
  <r>
    <s v="ORD20250232"/>
    <s v="2025-07-09"/>
    <s v="Jul"/>
    <s v="Q3"/>
    <n v="2025"/>
    <s v="West"/>
    <s v="Goa"/>
    <s v="Panaji"/>
    <s v="Online"/>
    <s v="Corporate"/>
    <s v="Pooja Singh"/>
    <s v="Furniture"/>
    <s v="Chair"/>
    <s v="Office Chair"/>
    <n v="3"/>
    <n v="8369"/>
    <n v="0.14000000000000001"/>
    <n v="21592.02"/>
    <n v="15546.25"/>
    <x v="231"/>
    <n v="0.28000000000000003"/>
    <x v="0"/>
    <s v="Standard"/>
    <n v="6"/>
    <x v="3"/>
  </r>
  <r>
    <s v="ORD20250233"/>
    <s v="2025-10-20"/>
    <s v="Oct"/>
    <s v="Q4"/>
    <n v="2025"/>
    <s v="East"/>
    <s v="Odisha"/>
    <s v="Bhubaneswar"/>
    <s v="Retail Store"/>
    <s v="Home Office"/>
    <s v="Rahul Mehta"/>
    <s v="Electronics"/>
    <s v="Laptop"/>
    <s v="HP Pavilion"/>
    <n v="1"/>
    <n v="60890"/>
    <n v="0.08"/>
    <n v="56018.8"/>
    <n v="47615.98"/>
    <x v="232"/>
    <n v="0.15"/>
    <x v="4"/>
    <s v="Same Day"/>
    <n v="0"/>
    <x v="3"/>
  </r>
  <r>
    <s v="ORD20250234"/>
    <s v="2025-05-19"/>
    <s v="May"/>
    <s v="Q2"/>
    <n v="2025"/>
    <s v="East"/>
    <s v="Odisha"/>
    <s v="Bhubaneswar"/>
    <s v="Distributor"/>
    <s v="Consumer"/>
    <s v="Pooja Singh"/>
    <s v="Electronics"/>
    <s v="Laptop"/>
    <s v="HP Pavilion"/>
    <n v="6"/>
    <n v="57890"/>
    <n v="0.14000000000000001"/>
    <n v="298712.40000000002"/>
    <n v="253905.54"/>
    <x v="233"/>
    <n v="0.15"/>
    <x v="4"/>
    <s v="Standard"/>
    <n v="3"/>
    <x v="0"/>
  </r>
  <r>
    <s v="ORD20250235"/>
    <s v="2025-04-19"/>
    <s v="Apr"/>
    <s v="Q2"/>
    <n v="2025"/>
    <s v="South"/>
    <s v="Karnataka"/>
    <s v="Mysuru"/>
    <s v="Distributor"/>
    <s v="Corporate"/>
    <s v="Amit Sharma"/>
    <s v="Electronics"/>
    <s v="Accessories"/>
    <s v="Wireless Mouse"/>
    <n v="4"/>
    <n v="1048"/>
    <n v="0.1"/>
    <n v="3772.8"/>
    <n v="2565.5"/>
    <x v="234"/>
    <n v="0.32"/>
    <x v="3"/>
    <s v="Express"/>
    <n v="2"/>
    <x v="0"/>
  </r>
  <r>
    <s v="ORD20250236"/>
    <s v="2025-04-13"/>
    <s v="Apr"/>
    <s v="Q2"/>
    <n v="2025"/>
    <s v="South"/>
    <s v="Kerala"/>
    <s v="Kochi"/>
    <s v="Retail Store"/>
    <s v="Home Office"/>
    <s v="Kavya Iyer"/>
    <s v="Furniture"/>
    <s v="Chair"/>
    <s v="Office Chair"/>
    <n v="3"/>
    <n v="8228"/>
    <n v="0.08"/>
    <n v="22709.279999999999"/>
    <n v="16350.68"/>
    <x v="235"/>
    <n v="0.28000000000000003"/>
    <x v="2"/>
    <s v="Standard"/>
    <n v="3"/>
    <x v="0"/>
  </r>
  <r>
    <s v="ORD20250237"/>
    <s v="2025-12-09"/>
    <s v="Dec"/>
    <s v="Q4"/>
    <n v="2025"/>
    <s v="West"/>
    <s v="Goa"/>
    <s v="Panaji"/>
    <s v="Retail Store"/>
    <s v="Consumer"/>
    <s v="Arjun Patel"/>
    <s v="Clothing"/>
    <s v="Men"/>
    <s v="Formal Shirt"/>
    <n v="5"/>
    <n v="2119"/>
    <n v="0.05"/>
    <n v="10065.25"/>
    <n v="5837.84"/>
    <x v="236"/>
    <n v="0.42"/>
    <x v="0"/>
    <s v="Express"/>
    <n v="1"/>
    <x v="2"/>
  </r>
  <r>
    <s v="ORD20250238"/>
    <s v="2025-04-16"/>
    <s v="Apr"/>
    <s v="Q2"/>
    <n v="2025"/>
    <s v="East"/>
    <s v="Bihar"/>
    <s v="Patna"/>
    <s v="Online"/>
    <s v="Corporate"/>
    <s v="Amit Sharma"/>
    <s v="Furniture"/>
    <s v="Table"/>
    <s v="Study Table"/>
    <n v="3"/>
    <n v="5161"/>
    <n v="0.05"/>
    <n v="14708.85"/>
    <n v="10443.280000000001"/>
    <x v="237"/>
    <n v="0.28999999999999998"/>
    <x v="3"/>
    <s v="Express"/>
    <n v="2"/>
    <x v="0"/>
  </r>
  <r>
    <s v="ORD20250239"/>
    <s v="2025-07-20"/>
    <s v="Jul"/>
    <s v="Q3"/>
    <n v="2025"/>
    <s v="South"/>
    <s v="Telangana"/>
    <s v="Hyderabad"/>
    <s v="Retail Store"/>
    <s v="Corporate"/>
    <s v="Pooja Singh"/>
    <s v="Electronics"/>
    <s v="Mobile"/>
    <s v="Samsung Galaxy A54"/>
    <n v="6"/>
    <n v="30019"/>
    <n v="0.05"/>
    <n v="171108.3"/>
    <n v="140308.81"/>
    <x v="238"/>
    <n v="0.18"/>
    <x v="3"/>
    <s v="Same Day"/>
    <n v="0"/>
    <x v="0"/>
  </r>
  <r>
    <s v="ORD20250240"/>
    <s v="2025-07-09"/>
    <s v="Jul"/>
    <s v="Q3"/>
    <n v="2025"/>
    <s v="East"/>
    <s v="West Bengal"/>
    <s v="Siliguri"/>
    <s v="Distributor"/>
    <s v="Corporate"/>
    <s v="Rohit Jain"/>
    <s v="Clothing"/>
    <s v="Men"/>
    <s v="Denim Jeans"/>
    <n v="5"/>
    <n v="2944"/>
    <n v="0.18"/>
    <n v="12070.4"/>
    <n v="7242.24"/>
    <x v="239"/>
    <n v="0.4"/>
    <x v="0"/>
    <s v="Standard"/>
    <n v="4"/>
    <x v="3"/>
  </r>
  <r>
    <s v="ORD20250241"/>
    <s v="2025-06-12"/>
    <s v="Jun"/>
    <s v="Q2"/>
    <n v="2025"/>
    <s v="East"/>
    <s v="West Bengal"/>
    <s v="Siliguri"/>
    <s v="Retail Store"/>
    <s v="Consumer"/>
    <s v="Amit Sharma"/>
    <s v="Grocery"/>
    <s v="Snacks"/>
    <s v="Butter Biscuits"/>
    <n v="15"/>
    <n v="68"/>
    <n v="7.0000000000000007E-2"/>
    <n v="948.6"/>
    <n v="588.13"/>
    <x v="240"/>
    <n v="0.38"/>
    <x v="3"/>
    <s v="Same Day"/>
    <n v="0"/>
    <x v="1"/>
  </r>
  <r>
    <s v="ORD20250242"/>
    <s v="2025-08-17"/>
    <s v="Aug"/>
    <s v="Q3"/>
    <n v="2025"/>
    <s v="North"/>
    <s v="Uttar Pradesh"/>
    <s v="Kanpur"/>
    <s v="Retail Store"/>
    <s v="Corporate"/>
    <s v="Kavya Iyer"/>
    <s v="Clothing"/>
    <s v="Women"/>
    <s v="Western Dress"/>
    <n v="11"/>
    <n v="4309"/>
    <n v="0.1"/>
    <n v="42659.1"/>
    <n v="24315.69"/>
    <x v="241"/>
    <n v="0.43"/>
    <x v="3"/>
    <s v="Express"/>
    <n v="2"/>
    <x v="0"/>
  </r>
  <r>
    <s v="ORD20250243"/>
    <s v="2025-04-08"/>
    <s v="Apr"/>
    <s v="Q2"/>
    <n v="2025"/>
    <s v="South"/>
    <s v="Kerala"/>
    <s v="Kochi"/>
    <s v="Online"/>
    <s v="Consumer"/>
    <s v="Kavya Iyer"/>
    <s v="Furniture"/>
    <s v="Chair"/>
    <s v="Office Chair"/>
    <n v="1"/>
    <n v="6142"/>
    <n v="0.09"/>
    <n v="5589.22"/>
    <n v="4024.24"/>
    <x v="242"/>
    <n v="0.28000000000000003"/>
    <x v="1"/>
    <s v="Express"/>
    <n v="2"/>
    <x v="1"/>
  </r>
  <r>
    <s v="ORD20250244"/>
    <s v="2025-08-26"/>
    <s v="Aug"/>
    <s v="Q3"/>
    <n v="2025"/>
    <s v="South"/>
    <s v="Tamil Nadu"/>
    <s v="Coimbatore"/>
    <s v="Online"/>
    <s v="Consumer"/>
    <s v="Rohit Jain"/>
    <s v="Grocery"/>
    <s v="Beverages"/>
    <s v="Premium Tea Pack"/>
    <n v="20"/>
    <n v="217"/>
    <n v="0.05"/>
    <n v="4123"/>
    <n v="2721.18"/>
    <x v="243"/>
    <n v="0.34"/>
    <x v="0"/>
    <s v="Standard"/>
    <n v="5"/>
    <x v="0"/>
  </r>
  <r>
    <s v="ORD20250245"/>
    <s v="2025-03-31"/>
    <s v="Apr"/>
    <s v="Q2"/>
    <n v="2025"/>
    <s v="North"/>
    <s v="Rajasthan"/>
    <s v="Udaipur"/>
    <s v="Online"/>
    <s v="Corporate"/>
    <s v="Pooja Singh"/>
    <s v="Electronics"/>
    <s v="Mobile"/>
    <s v="Samsung Galaxy A54"/>
    <n v="3"/>
    <n v="28612"/>
    <n v="0.14000000000000001"/>
    <n v="73818.960000000006"/>
    <n v="60531.55"/>
    <x v="244"/>
    <n v="0.18"/>
    <x v="2"/>
    <s v="Same Day"/>
    <n v="0"/>
    <x v="3"/>
  </r>
  <r>
    <s v="ORD20250246"/>
    <s v="2025-08-09"/>
    <s v="Aug"/>
    <s v="Q3"/>
    <n v="2025"/>
    <s v="North"/>
    <s v="Delhi"/>
    <s v="New Delhi"/>
    <s v="Retail Store"/>
    <s v="Consumer"/>
    <s v="Amit Sharma"/>
    <s v="Clothing"/>
    <s v="Women"/>
    <s v="Silk Saree"/>
    <n v="11"/>
    <n v="8163"/>
    <n v="7.0000000000000007E-2"/>
    <n v="83507.490000000005"/>
    <n v="52609.72"/>
    <x v="245"/>
    <n v="0.37"/>
    <x v="0"/>
    <s v="Express"/>
    <n v="3"/>
    <x v="0"/>
  </r>
  <r>
    <s v="ORD20250247"/>
    <s v="2025-04-27"/>
    <s v="Apr"/>
    <s v="Q2"/>
    <n v="2025"/>
    <s v="West"/>
    <s v="Gujarat"/>
    <s v="Surat"/>
    <s v="Retail Store"/>
    <s v="Home Office"/>
    <s v="Pooja Singh"/>
    <s v="Electronics"/>
    <s v="Mobile"/>
    <s v="iPhone 14"/>
    <n v="5"/>
    <n v="70152"/>
    <n v="0.08"/>
    <n v="322699.2"/>
    <n v="283975.3"/>
    <x v="246"/>
    <n v="0.12"/>
    <x v="3"/>
    <s v="Standard"/>
    <n v="5"/>
    <x v="0"/>
  </r>
  <r>
    <s v="ORD20250248"/>
    <s v="2025-05-04"/>
    <s v="May"/>
    <s v="Q2"/>
    <n v="2025"/>
    <s v="West"/>
    <s v="Maharashtra"/>
    <s v="Mumbai"/>
    <s v="Retail Store"/>
    <s v="Consumer"/>
    <s v="Sandeep Rao"/>
    <s v="Electronics"/>
    <s v="Laptop"/>
    <s v="Dell Inspiron 15"/>
    <n v="1"/>
    <n v="56388"/>
    <n v="0.09"/>
    <n v="51313.08"/>
    <n v="43102.99"/>
    <x v="247"/>
    <n v="0.16"/>
    <x v="4"/>
    <s v="Standard"/>
    <n v="6"/>
    <x v="1"/>
  </r>
  <r>
    <s v="ORD20250249"/>
    <s v="2025-12-08"/>
    <s v="Dec"/>
    <s v="Q4"/>
    <n v="2025"/>
    <s v="East"/>
    <s v="Odisha"/>
    <s v="Bhubaneswar"/>
    <s v="Retail Store"/>
    <s v="Home Office"/>
    <s v="Pooja Singh"/>
    <s v="Electronics"/>
    <s v="Accessories"/>
    <s v="Wireless Mouse"/>
    <n v="3"/>
    <n v="1521"/>
    <n v="0.02"/>
    <n v="4471.74"/>
    <n v="3040.78"/>
    <x v="248"/>
    <n v="0.32"/>
    <x v="4"/>
    <s v="Express"/>
    <n v="2"/>
    <x v="2"/>
  </r>
  <r>
    <m/>
    <m/>
    <m/>
    <m/>
    <m/>
    <m/>
    <m/>
    <m/>
    <m/>
    <m/>
    <m/>
    <m/>
    <m/>
    <m/>
    <m/>
    <m/>
    <m/>
    <m/>
    <m/>
    <x v="249"/>
    <m/>
    <x v="5"/>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161B51-F76D-43EA-8D0F-F395F861B439}" name="PivotTable3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5:E50" firstHeaderRow="0" firstDataRow="1" firstDataCol="1"/>
  <pivotFields count="25">
    <pivotField showAll="0"/>
    <pivotField showAll="0"/>
    <pivotField showAll="0"/>
    <pivotField showAll="0">
      <items count="5">
        <item x="0"/>
        <item x="3"/>
        <item x="2"/>
        <item x="1"/>
        <item t="default"/>
      </items>
    </pivotField>
    <pivotField showAll="0"/>
    <pivotField showAll="0">
      <items count="5">
        <item sd="0" x="0"/>
        <item sd="0" x="1"/>
        <item sd="0" x="3"/>
        <item sd="0" x="2"/>
        <item t="default"/>
      </items>
    </pivotField>
    <pivotField showAll="0">
      <items count="15">
        <item sd="0" x="11"/>
        <item sd="0" x="3"/>
        <item x="8"/>
        <item x="10"/>
        <item sd="0" x="7"/>
        <item sd="0" x="12"/>
        <item x="4"/>
        <item sd="0" x="0"/>
        <item sd="0" x="6"/>
        <item sd="0" x="1"/>
        <item sd="0" x="13"/>
        <item sd="0" x="5"/>
        <item sd="0" x="9"/>
        <item sd="0" x="2"/>
        <item t="default"/>
      </items>
    </pivotField>
    <pivotField showAll="0"/>
    <pivotField showAll="0"/>
    <pivotField showAll="0"/>
    <pivotField showAll="0"/>
    <pivotField axis="axisRow" showAll="0">
      <items count="5">
        <item x="0"/>
        <item x="1"/>
        <item x="2"/>
        <item x="3"/>
        <item t="default"/>
      </items>
    </pivotField>
    <pivotField showAll="0"/>
    <pivotField showAll="0">
      <items count="19">
        <item x="16"/>
        <item x="17"/>
        <item x="13"/>
        <item x="11"/>
        <item x="4"/>
        <item x="10"/>
        <item x="2"/>
        <item x="9"/>
        <item x="1"/>
        <item x="8"/>
        <item x="7"/>
        <item x="5"/>
        <item x="6"/>
        <item x="12"/>
        <item x="14"/>
        <item x="3"/>
        <item x="0"/>
        <item x="15"/>
        <item t="default"/>
      </items>
    </pivotField>
    <pivotField dataField="1" showAll="0"/>
    <pivotField dataField="1" numFmtId="165" showAll="0"/>
    <pivotField numFmtId="9" showAll="0"/>
    <pivotField numFmtId="165" showAll="0">
      <items count="250">
        <item x="169"/>
        <item x="111"/>
        <item x="21"/>
        <item x="207"/>
        <item x="73"/>
        <item x="240"/>
        <item x="48"/>
        <item x="117"/>
        <item x="41"/>
        <item x="7"/>
        <item x="161"/>
        <item x="55"/>
        <item x="206"/>
        <item x="194"/>
        <item x="114"/>
        <item x="145"/>
        <item x="66"/>
        <item x="142"/>
        <item x="78"/>
        <item x="139"/>
        <item x="200"/>
        <item x="5"/>
        <item x="130"/>
        <item x="40"/>
        <item x="128"/>
        <item x="106"/>
        <item x="119"/>
        <item x="140"/>
        <item x="170"/>
        <item x="146"/>
        <item x="193"/>
        <item x="141"/>
        <item x="203"/>
        <item x="43"/>
        <item x="12"/>
        <item x="72"/>
        <item x="82"/>
        <item x="227"/>
        <item x="104"/>
        <item x="92"/>
        <item x="201"/>
        <item x="74"/>
        <item x="234"/>
        <item x="36"/>
        <item x="51"/>
        <item x="166"/>
        <item x="67"/>
        <item x="243"/>
        <item x="205"/>
        <item x="136"/>
        <item x="216"/>
        <item x="31"/>
        <item x="248"/>
        <item x="165"/>
        <item x="189"/>
        <item x="147"/>
        <item x="25"/>
        <item x="9"/>
        <item x="226"/>
        <item x="17"/>
        <item x="178"/>
        <item x="242"/>
        <item x="223"/>
        <item x="152"/>
        <item x="109"/>
        <item x="44"/>
        <item x="20"/>
        <item x="196"/>
        <item x="76"/>
        <item x="77"/>
        <item x="3"/>
        <item x="182"/>
        <item x="33"/>
        <item x="45"/>
        <item x="71"/>
        <item x="228"/>
        <item x="94"/>
        <item x="171"/>
        <item x="185"/>
        <item x="129"/>
        <item x="42"/>
        <item x="153"/>
        <item x="218"/>
        <item x="46"/>
        <item x="172"/>
        <item x="99"/>
        <item x="81"/>
        <item x="56"/>
        <item x="213"/>
        <item x="79"/>
        <item x="164"/>
        <item x="132"/>
        <item x="224"/>
        <item x="123"/>
        <item x="68"/>
        <item x="204"/>
        <item x="4"/>
        <item x="199"/>
        <item x="236"/>
        <item x="230"/>
        <item x="84"/>
        <item x="156"/>
        <item x="229"/>
        <item x="90"/>
        <item x="112"/>
        <item x="209"/>
        <item x="60"/>
        <item x="26"/>
        <item x="239"/>
        <item x="0"/>
        <item x="65"/>
        <item x="11"/>
        <item x="10"/>
        <item x="50"/>
        <item x="215"/>
        <item x="180"/>
        <item x="155"/>
        <item x="95"/>
        <item x="173"/>
        <item x="131"/>
        <item x="137"/>
        <item x="237"/>
        <item x="38"/>
        <item x="29"/>
        <item x="53"/>
        <item x="39"/>
        <item x="23"/>
        <item x="150"/>
        <item x="175"/>
        <item x="113"/>
        <item x="148"/>
        <item x="19"/>
        <item x="88"/>
        <item x="159"/>
        <item x="83"/>
        <item x="6"/>
        <item x="14"/>
        <item x="212"/>
        <item x="177"/>
        <item x="192"/>
        <item x="163"/>
        <item x="187"/>
        <item x="214"/>
        <item x="158"/>
        <item x="181"/>
        <item x="191"/>
        <item x="24"/>
        <item x="120"/>
        <item x="102"/>
        <item x="37"/>
        <item x="16"/>
        <item x="231"/>
        <item x="222"/>
        <item x="75"/>
        <item x="235"/>
        <item x="97"/>
        <item x="197"/>
        <item x="61"/>
        <item x="100"/>
        <item x="167"/>
        <item x="34"/>
        <item x="198"/>
        <item x="162"/>
        <item x="157"/>
        <item x="13"/>
        <item x="58"/>
        <item x="217"/>
        <item x="124"/>
        <item x="211"/>
        <item x="93"/>
        <item x="127"/>
        <item x="49"/>
        <item x="57"/>
        <item x="154"/>
        <item x="115"/>
        <item x="125"/>
        <item x="179"/>
        <item x="219"/>
        <item x="160"/>
        <item x="168"/>
        <item x="18"/>
        <item x="188"/>
        <item x="241"/>
        <item x="208"/>
        <item x="143"/>
        <item x="195"/>
        <item x="247"/>
        <item x="176"/>
        <item x="35"/>
        <item x="232"/>
        <item x="221"/>
        <item x="28"/>
        <item x="47"/>
        <item x="186"/>
        <item x="27"/>
        <item x="54"/>
        <item x="22"/>
        <item x="244"/>
        <item x="190"/>
        <item x="30"/>
        <item x="103"/>
        <item x="245"/>
        <item x="149"/>
        <item x="118"/>
        <item x="108"/>
        <item x="96"/>
        <item x="91"/>
        <item x="184"/>
        <item x="64"/>
        <item x="63"/>
        <item x="2"/>
        <item x="62"/>
        <item x="15"/>
        <item x="107"/>
        <item x="174"/>
        <item x="80"/>
        <item x="183"/>
        <item x="116"/>
        <item x="133"/>
        <item x="210"/>
        <item x="52"/>
        <item x="202"/>
        <item x="238"/>
        <item x="85"/>
        <item x="89"/>
        <item x="98"/>
        <item x="105"/>
        <item x="135"/>
        <item x="70"/>
        <item x="1"/>
        <item x="138"/>
        <item x="32"/>
        <item x="122"/>
        <item x="69"/>
        <item x="59"/>
        <item x="87"/>
        <item x="220"/>
        <item x="134"/>
        <item x="101"/>
        <item x="233"/>
        <item x="110"/>
        <item x="246"/>
        <item x="86"/>
        <item x="225"/>
        <item x="144"/>
        <item x="121"/>
        <item x="8"/>
        <item x="126"/>
        <item x="151"/>
        <item t="default"/>
      </items>
    </pivotField>
    <pivotField numFmtId="165" showAll="0"/>
    <pivotField numFmtId="165" showAll="0"/>
    <pivotField numFmtId="10" showAll="0"/>
    <pivotField showAll="0">
      <items count="6">
        <item x="0"/>
        <item x="3"/>
        <item x="2"/>
        <item x="4"/>
        <item x="1"/>
        <item t="default"/>
      </items>
    </pivotField>
    <pivotField showAll="0"/>
    <pivotField showAll="0"/>
    <pivotField showAll="0">
      <items count="5">
        <item x="0"/>
        <item x="1"/>
        <item x="3"/>
        <item x="2"/>
        <item t="default"/>
      </items>
    </pivotField>
  </pivotFields>
  <rowFields count="1">
    <field x="11"/>
  </rowFields>
  <rowItems count="5">
    <i>
      <x/>
    </i>
    <i>
      <x v="1"/>
    </i>
    <i>
      <x v="2"/>
    </i>
    <i>
      <x v="3"/>
    </i>
    <i t="grand">
      <x/>
    </i>
  </rowItems>
  <colFields count="1">
    <field x="-2"/>
  </colFields>
  <colItems count="3">
    <i>
      <x/>
    </i>
    <i i="1">
      <x v="1"/>
    </i>
    <i i="2">
      <x v="2"/>
    </i>
  </colItems>
  <dataFields count="3">
    <dataField name="Sum of Unit Price" fld="15" baseField="0" baseItem="0" numFmtId="165"/>
    <dataField name="Sum of Units Sold" fld="14" baseField="0" baseItem="0"/>
    <dataField name="Sum of Unit Price2" fld="15" showDataAs="percentOfTotal" baseField="0" baseItem="0"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B904CC-EECF-42B9-A168-B83294250469}" name="PivotTable3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63:F68" firstHeaderRow="1" firstDataRow="1" firstDataCol="1"/>
  <pivotFields count="25">
    <pivotField showAll="0"/>
    <pivotField showAll="0"/>
    <pivotField showAll="0"/>
    <pivotField axis="axisRow" showAll="0">
      <items count="5">
        <item x="0"/>
        <item x="3"/>
        <item x="2"/>
        <item x="1"/>
        <item t="default"/>
      </items>
    </pivotField>
    <pivotField showAll="0"/>
    <pivotField showAll="0">
      <items count="5">
        <item x="0"/>
        <item x="1"/>
        <item x="3"/>
        <item x="2"/>
        <item t="default"/>
      </items>
    </pivotField>
    <pivotField showAll="0">
      <items count="15">
        <item x="11"/>
        <item x="3"/>
        <item x="8"/>
        <item x="10"/>
        <item x="7"/>
        <item x="12"/>
        <item x="4"/>
        <item x="0"/>
        <item x="6"/>
        <item x="1"/>
        <item x="13"/>
        <item x="5"/>
        <item x="9"/>
        <item x="2"/>
        <item t="default"/>
      </items>
    </pivotField>
    <pivotField showAll="0"/>
    <pivotField showAll="0"/>
    <pivotField showAll="0"/>
    <pivotField showAll="0"/>
    <pivotField showAll="0">
      <items count="5">
        <item x="0"/>
        <item x="1"/>
        <item x="2"/>
        <item x="3"/>
        <item t="default"/>
      </items>
    </pivotField>
    <pivotField showAll="0"/>
    <pivotField showAll="0">
      <items count="19">
        <item x="16"/>
        <item x="17"/>
        <item x="13"/>
        <item x="11"/>
        <item x="4"/>
        <item x="10"/>
        <item x="2"/>
        <item x="9"/>
        <item x="1"/>
        <item x="8"/>
        <item x="7"/>
        <item x="5"/>
        <item x="6"/>
        <item x="12"/>
        <item x="14"/>
        <item x="3"/>
        <item x="0"/>
        <item x="15"/>
        <item t="default"/>
      </items>
    </pivotField>
    <pivotField showAll="0"/>
    <pivotField numFmtId="165" showAll="0"/>
    <pivotField numFmtId="9" showAll="0"/>
    <pivotField dataField="1" numFmtId="165" showAll="0">
      <items count="250">
        <item x="169"/>
        <item x="111"/>
        <item x="21"/>
        <item x="207"/>
        <item x="73"/>
        <item x="240"/>
        <item x="48"/>
        <item x="117"/>
        <item x="41"/>
        <item x="7"/>
        <item x="161"/>
        <item x="55"/>
        <item x="206"/>
        <item x="194"/>
        <item x="114"/>
        <item x="145"/>
        <item x="66"/>
        <item x="142"/>
        <item x="78"/>
        <item x="139"/>
        <item x="200"/>
        <item x="5"/>
        <item x="130"/>
        <item x="40"/>
        <item x="128"/>
        <item x="106"/>
        <item x="119"/>
        <item x="140"/>
        <item x="170"/>
        <item x="146"/>
        <item x="193"/>
        <item x="141"/>
        <item x="203"/>
        <item x="43"/>
        <item x="12"/>
        <item x="72"/>
        <item x="82"/>
        <item x="227"/>
        <item x="104"/>
        <item x="92"/>
        <item x="201"/>
        <item x="74"/>
        <item x="234"/>
        <item x="36"/>
        <item x="51"/>
        <item x="166"/>
        <item x="67"/>
        <item x="243"/>
        <item x="205"/>
        <item x="136"/>
        <item x="216"/>
        <item x="31"/>
        <item x="248"/>
        <item x="165"/>
        <item x="189"/>
        <item x="147"/>
        <item x="25"/>
        <item x="9"/>
        <item x="226"/>
        <item x="17"/>
        <item x="178"/>
        <item x="242"/>
        <item x="223"/>
        <item x="152"/>
        <item x="109"/>
        <item x="44"/>
        <item x="20"/>
        <item x="196"/>
        <item x="76"/>
        <item x="77"/>
        <item x="3"/>
        <item x="182"/>
        <item x="33"/>
        <item x="45"/>
        <item x="71"/>
        <item x="228"/>
        <item x="94"/>
        <item x="171"/>
        <item x="185"/>
        <item x="129"/>
        <item x="42"/>
        <item x="153"/>
        <item x="218"/>
        <item x="46"/>
        <item x="172"/>
        <item x="99"/>
        <item x="81"/>
        <item x="56"/>
        <item x="213"/>
        <item x="79"/>
        <item x="164"/>
        <item x="132"/>
        <item x="224"/>
        <item x="123"/>
        <item x="68"/>
        <item x="204"/>
        <item x="4"/>
        <item x="199"/>
        <item x="236"/>
        <item x="230"/>
        <item x="84"/>
        <item x="156"/>
        <item x="229"/>
        <item x="90"/>
        <item x="112"/>
        <item x="209"/>
        <item x="60"/>
        <item x="26"/>
        <item x="239"/>
        <item x="0"/>
        <item x="65"/>
        <item x="11"/>
        <item x="10"/>
        <item x="50"/>
        <item x="215"/>
        <item x="180"/>
        <item x="155"/>
        <item x="95"/>
        <item x="173"/>
        <item x="131"/>
        <item x="137"/>
        <item x="237"/>
        <item x="38"/>
        <item x="29"/>
        <item x="53"/>
        <item x="39"/>
        <item x="23"/>
        <item x="150"/>
        <item x="175"/>
        <item x="113"/>
        <item x="148"/>
        <item x="19"/>
        <item x="88"/>
        <item x="159"/>
        <item x="83"/>
        <item x="6"/>
        <item x="14"/>
        <item x="212"/>
        <item x="177"/>
        <item x="192"/>
        <item x="163"/>
        <item x="187"/>
        <item x="214"/>
        <item x="158"/>
        <item x="181"/>
        <item x="191"/>
        <item x="24"/>
        <item x="120"/>
        <item x="102"/>
        <item x="37"/>
        <item x="16"/>
        <item x="231"/>
        <item x="222"/>
        <item x="75"/>
        <item x="235"/>
        <item x="97"/>
        <item x="197"/>
        <item x="61"/>
        <item x="100"/>
        <item x="167"/>
        <item x="34"/>
        <item x="198"/>
        <item x="162"/>
        <item x="157"/>
        <item x="13"/>
        <item x="58"/>
        <item x="217"/>
        <item x="124"/>
        <item x="211"/>
        <item x="93"/>
        <item x="127"/>
        <item x="49"/>
        <item x="57"/>
        <item x="154"/>
        <item x="115"/>
        <item x="125"/>
        <item x="179"/>
        <item x="219"/>
        <item x="160"/>
        <item x="168"/>
        <item x="18"/>
        <item x="188"/>
        <item x="241"/>
        <item x="208"/>
        <item x="143"/>
        <item x="195"/>
        <item x="247"/>
        <item x="176"/>
        <item x="35"/>
        <item x="232"/>
        <item x="221"/>
        <item x="28"/>
        <item x="47"/>
        <item x="186"/>
        <item x="27"/>
        <item x="54"/>
        <item x="22"/>
        <item x="244"/>
        <item x="190"/>
        <item x="30"/>
        <item x="103"/>
        <item x="245"/>
        <item x="149"/>
        <item x="118"/>
        <item x="108"/>
        <item x="96"/>
        <item x="91"/>
        <item x="184"/>
        <item x="64"/>
        <item x="63"/>
        <item x="2"/>
        <item x="62"/>
        <item x="15"/>
        <item x="107"/>
        <item x="174"/>
        <item x="80"/>
        <item x="183"/>
        <item x="116"/>
        <item x="133"/>
        <item x="210"/>
        <item x="52"/>
        <item x="202"/>
        <item x="238"/>
        <item x="85"/>
        <item x="89"/>
        <item x="98"/>
        <item x="105"/>
        <item x="135"/>
        <item x="70"/>
        <item x="1"/>
        <item x="138"/>
        <item x="32"/>
        <item x="122"/>
        <item x="69"/>
        <item x="59"/>
        <item x="87"/>
        <item x="220"/>
        <item x="134"/>
        <item x="101"/>
        <item x="233"/>
        <item x="110"/>
        <item x="246"/>
        <item x="86"/>
        <item x="225"/>
        <item x="144"/>
        <item x="121"/>
        <item x="8"/>
        <item x="126"/>
        <item x="151"/>
        <item t="default"/>
      </items>
    </pivotField>
    <pivotField numFmtId="165" showAll="0"/>
    <pivotField numFmtId="165" showAll="0"/>
    <pivotField numFmtId="10" showAll="0"/>
    <pivotField showAll="0">
      <items count="6">
        <item x="0"/>
        <item x="3"/>
        <item x="2"/>
        <item x="4"/>
        <item x="1"/>
        <item t="default"/>
      </items>
    </pivotField>
    <pivotField showAll="0"/>
    <pivotField showAll="0"/>
    <pivotField showAll="0">
      <items count="5">
        <item x="0"/>
        <item x="1"/>
        <item x="3"/>
        <item x="2"/>
        <item t="default"/>
      </items>
    </pivotField>
  </pivotFields>
  <rowFields count="1">
    <field x="3"/>
  </rowFields>
  <rowItems count="5">
    <i>
      <x/>
    </i>
    <i>
      <x v="1"/>
    </i>
    <i>
      <x v="2"/>
    </i>
    <i>
      <x v="3"/>
    </i>
    <i t="grand">
      <x/>
    </i>
  </rowItems>
  <colItems count="1">
    <i/>
  </colItems>
  <dataFields count="1">
    <dataField name="Sum of Sales Amount" fld="17"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AE44D6-7D12-48B9-8DD2-F99B0BB57DDC}" name="PivotTable3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55:G60" firstHeaderRow="0" firstDataRow="1" firstDataCol="1"/>
  <pivotFields count="25">
    <pivotField showAll="0"/>
    <pivotField showAll="0"/>
    <pivotField showAll="0"/>
    <pivotField showAll="0">
      <items count="5">
        <item x="0"/>
        <item x="3"/>
        <item x="2"/>
        <item x="1"/>
        <item t="default"/>
      </items>
    </pivotField>
    <pivotField showAll="0"/>
    <pivotField axis="axisRow" showAll="0">
      <items count="5">
        <item sd="0" x="0"/>
        <item sd="0" x="1"/>
        <item sd="0" x="3"/>
        <item sd="0" x="2"/>
        <item t="default"/>
      </items>
    </pivotField>
    <pivotField axis="axisRow" showAll="0">
      <items count="15">
        <item sd="0" x="11"/>
        <item sd="0" x="3"/>
        <item x="8"/>
        <item x="10"/>
        <item sd="0" x="7"/>
        <item sd="0" x="12"/>
        <item x="4"/>
        <item sd="0" x="0"/>
        <item sd="0" x="6"/>
        <item sd="0" x="1"/>
        <item sd="0" x="13"/>
        <item sd="0" x="5"/>
        <item sd="0" x="9"/>
        <item sd="0" x="2"/>
        <item t="default"/>
      </items>
    </pivotField>
    <pivotField showAll="0"/>
    <pivotField showAll="0"/>
    <pivotField showAll="0"/>
    <pivotField showAll="0"/>
    <pivotField showAll="0">
      <items count="5">
        <item x="0"/>
        <item x="1"/>
        <item x="2"/>
        <item x="3"/>
        <item t="default"/>
      </items>
    </pivotField>
    <pivotField showAll="0"/>
    <pivotField showAll="0">
      <items count="19">
        <item x="16"/>
        <item x="17"/>
        <item x="13"/>
        <item x="11"/>
        <item x="4"/>
        <item x="10"/>
        <item x="2"/>
        <item x="9"/>
        <item x="1"/>
        <item x="8"/>
        <item x="7"/>
        <item x="5"/>
        <item x="6"/>
        <item x="12"/>
        <item x="14"/>
        <item x="3"/>
        <item x="0"/>
        <item x="15"/>
        <item t="default"/>
      </items>
    </pivotField>
    <pivotField showAll="0"/>
    <pivotField numFmtId="165" showAll="0"/>
    <pivotField numFmtId="9" showAll="0"/>
    <pivotField dataField="1" numFmtId="165" showAll="0">
      <items count="250">
        <item x="169"/>
        <item x="111"/>
        <item x="21"/>
        <item x="207"/>
        <item x="73"/>
        <item x="240"/>
        <item x="48"/>
        <item x="117"/>
        <item x="41"/>
        <item x="7"/>
        <item x="161"/>
        <item x="55"/>
        <item x="206"/>
        <item x="194"/>
        <item x="114"/>
        <item x="145"/>
        <item x="66"/>
        <item x="142"/>
        <item x="78"/>
        <item x="139"/>
        <item x="200"/>
        <item x="5"/>
        <item x="130"/>
        <item x="40"/>
        <item x="128"/>
        <item x="106"/>
        <item x="119"/>
        <item x="140"/>
        <item x="170"/>
        <item x="146"/>
        <item x="193"/>
        <item x="141"/>
        <item x="203"/>
        <item x="43"/>
        <item x="12"/>
        <item x="72"/>
        <item x="82"/>
        <item x="227"/>
        <item x="104"/>
        <item x="92"/>
        <item x="201"/>
        <item x="74"/>
        <item x="234"/>
        <item x="36"/>
        <item x="51"/>
        <item x="166"/>
        <item x="67"/>
        <item x="243"/>
        <item x="205"/>
        <item x="136"/>
        <item x="216"/>
        <item x="31"/>
        <item x="248"/>
        <item x="165"/>
        <item x="189"/>
        <item x="147"/>
        <item x="25"/>
        <item x="9"/>
        <item x="226"/>
        <item x="17"/>
        <item x="178"/>
        <item x="242"/>
        <item x="223"/>
        <item x="152"/>
        <item x="109"/>
        <item x="44"/>
        <item x="20"/>
        <item x="196"/>
        <item x="76"/>
        <item x="77"/>
        <item x="3"/>
        <item x="182"/>
        <item x="33"/>
        <item x="45"/>
        <item x="71"/>
        <item x="228"/>
        <item x="94"/>
        <item x="171"/>
        <item x="185"/>
        <item x="129"/>
        <item x="42"/>
        <item x="153"/>
        <item x="218"/>
        <item x="46"/>
        <item x="172"/>
        <item x="99"/>
        <item x="81"/>
        <item x="56"/>
        <item x="213"/>
        <item x="79"/>
        <item x="164"/>
        <item x="132"/>
        <item x="224"/>
        <item x="123"/>
        <item x="68"/>
        <item x="204"/>
        <item x="4"/>
        <item x="199"/>
        <item x="236"/>
        <item x="230"/>
        <item x="84"/>
        <item x="156"/>
        <item x="229"/>
        <item x="90"/>
        <item x="112"/>
        <item x="209"/>
        <item x="60"/>
        <item x="26"/>
        <item x="239"/>
        <item x="0"/>
        <item x="65"/>
        <item x="11"/>
        <item x="10"/>
        <item x="50"/>
        <item x="215"/>
        <item x="180"/>
        <item x="155"/>
        <item x="95"/>
        <item x="173"/>
        <item x="131"/>
        <item x="137"/>
        <item x="237"/>
        <item x="38"/>
        <item x="29"/>
        <item x="53"/>
        <item x="39"/>
        <item x="23"/>
        <item x="150"/>
        <item x="175"/>
        <item x="113"/>
        <item x="148"/>
        <item x="19"/>
        <item x="88"/>
        <item x="159"/>
        <item x="83"/>
        <item x="6"/>
        <item x="14"/>
        <item x="212"/>
        <item x="177"/>
        <item x="192"/>
        <item x="163"/>
        <item x="187"/>
        <item x="214"/>
        <item x="158"/>
        <item x="181"/>
        <item x="191"/>
        <item x="24"/>
        <item x="120"/>
        <item x="102"/>
        <item x="37"/>
        <item x="16"/>
        <item x="231"/>
        <item x="222"/>
        <item x="75"/>
        <item x="235"/>
        <item x="97"/>
        <item x="197"/>
        <item x="61"/>
        <item x="100"/>
        <item x="167"/>
        <item x="34"/>
        <item x="198"/>
        <item x="162"/>
        <item x="157"/>
        <item x="13"/>
        <item x="58"/>
        <item x="217"/>
        <item x="124"/>
        <item x="211"/>
        <item x="93"/>
        <item x="127"/>
        <item x="49"/>
        <item x="57"/>
        <item x="154"/>
        <item x="115"/>
        <item x="125"/>
        <item x="179"/>
        <item x="219"/>
        <item x="160"/>
        <item x="168"/>
        <item x="18"/>
        <item x="188"/>
        <item x="241"/>
        <item x="208"/>
        <item x="143"/>
        <item x="195"/>
        <item x="247"/>
        <item x="176"/>
        <item x="35"/>
        <item x="232"/>
        <item x="221"/>
        <item x="28"/>
        <item x="47"/>
        <item x="186"/>
        <item x="27"/>
        <item x="54"/>
        <item x="22"/>
        <item x="244"/>
        <item x="190"/>
        <item x="30"/>
        <item x="103"/>
        <item x="245"/>
        <item x="149"/>
        <item x="118"/>
        <item x="108"/>
        <item x="96"/>
        <item x="91"/>
        <item x="184"/>
        <item x="64"/>
        <item x="63"/>
        <item x="2"/>
        <item x="62"/>
        <item x="15"/>
        <item x="107"/>
        <item x="174"/>
        <item x="80"/>
        <item x="183"/>
        <item x="116"/>
        <item x="133"/>
        <item x="210"/>
        <item x="52"/>
        <item x="202"/>
        <item x="238"/>
        <item x="85"/>
        <item x="89"/>
        <item x="98"/>
        <item x="105"/>
        <item x="135"/>
        <item x="70"/>
        <item x="1"/>
        <item x="138"/>
        <item x="32"/>
        <item x="122"/>
        <item x="69"/>
        <item x="59"/>
        <item x="87"/>
        <item x="220"/>
        <item x="134"/>
        <item x="101"/>
        <item x="233"/>
        <item x="110"/>
        <item x="246"/>
        <item x="86"/>
        <item x="225"/>
        <item x="144"/>
        <item x="121"/>
        <item x="8"/>
        <item x="126"/>
        <item x="151"/>
        <item t="default"/>
      </items>
    </pivotField>
    <pivotField numFmtId="165" showAll="0"/>
    <pivotField numFmtId="165" showAll="0"/>
    <pivotField numFmtId="10" showAll="0"/>
    <pivotField showAll="0">
      <items count="6">
        <item x="0"/>
        <item x="3"/>
        <item x="2"/>
        <item x="4"/>
        <item x="1"/>
        <item t="default"/>
      </items>
    </pivotField>
    <pivotField showAll="0"/>
    <pivotField showAll="0"/>
    <pivotField showAll="0">
      <items count="5">
        <item x="0"/>
        <item x="1"/>
        <item x="3"/>
        <item x="2"/>
        <item t="default"/>
      </items>
    </pivotField>
  </pivotFields>
  <rowFields count="2">
    <field x="5"/>
    <field x="6"/>
  </rowFields>
  <rowItems count="5">
    <i>
      <x/>
    </i>
    <i>
      <x v="1"/>
    </i>
    <i>
      <x v="2"/>
    </i>
    <i>
      <x v="3"/>
    </i>
    <i t="grand">
      <x/>
    </i>
  </rowItems>
  <colFields count="1">
    <field x="-2"/>
  </colFields>
  <colItems count="2">
    <i>
      <x/>
    </i>
    <i i="1">
      <x v="1"/>
    </i>
  </colItems>
  <dataFields count="2">
    <dataField name="Sum of Sales Amount" fld="17" baseField="0" baseItem="0" numFmtId="165"/>
    <dataField name="Sum of Sales Amount2" fld="17" showDataAs="percentOfTotal" baseField="0" baseItem="0" numFmtId="1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A446C1-3156-44B9-A125-D61882C9E9EC}" name="PivotTable34"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B52:C67" firstHeaderRow="1" firstDataRow="1" firstDataCol="1"/>
  <pivotFields count="25">
    <pivotField showAll="0"/>
    <pivotField showAll="0"/>
    <pivotField showAll="0"/>
    <pivotField showAll="0">
      <items count="5">
        <item x="0"/>
        <item x="3"/>
        <item x="2"/>
        <item x="1"/>
        <item t="default"/>
      </items>
    </pivotField>
    <pivotField showAll="0"/>
    <pivotField showAll="0">
      <items count="5">
        <item x="0"/>
        <item x="1"/>
        <item x="3"/>
        <item x="2"/>
        <item t="default"/>
      </items>
    </pivotField>
    <pivotField axis="axisRow" showAll="0">
      <items count="15">
        <item x="11"/>
        <item x="3"/>
        <item x="8"/>
        <item x="10"/>
        <item x="7"/>
        <item x="12"/>
        <item x="4"/>
        <item x="0"/>
        <item x="6"/>
        <item x="1"/>
        <item x="13"/>
        <item x="5"/>
        <item x="9"/>
        <item x="2"/>
        <item t="default"/>
      </items>
    </pivotField>
    <pivotField showAll="0">
      <items count="27">
        <item x="18"/>
        <item x="11"/>
        <item x="7"/>
        <item x="0"/>
        <item x="22"/>
        <item x="21"/>
        <item x="8"/>
        <item x="5"/>
        <item x="20"/>
        <item x="12"/>
        <item x="25"/>
        <item x="2"/>
        <item x="23"/>
        <item x="6"/>
        <item x="9"/>
        <item x="17"/>
        <item x="14"/>
        <item x="3"/>
        <item x="24"/>
        <item x="10"/>
        <item x="16"/>
        <item x="4"/>
        <item x="13"/>
        <item x="15"/>
        <item x="19"/>
        <item x="1"/>
        <item t="default"/>
      </items>
    </pivotField>
    <pivotField showAll="0"/>
    <pivotField showAll="0"/>
    <pivotField showAll="0">
      <items count="11">
        <item x="1"/>
        <item x="4"/>
        <item x="7"/>
        <item x="0"/>
        <item x="5"/>
        <item x="9"/>
        <item x="6"/>
        <item x="3"/>
        <item x="2"/>
        <item x="8"/>
        <item t="default"/>
      </items>
    </pivotField>
    <pivotField showAll="0">
      <items count="5">
        <item x="0"/>
        <item x="1"/>
        <item x="2"/>
        <item x="3"/>
        <item t="default"/>
      </items>
    </pivotField>
    <pivotField showAll="0"/>
    <pivotField showAll="0">
      <items count="19">
        <item x="16"/>
        <item x="17"/>
        <item x="13"/>
        <item x="11"/>
        <item x="4"/>
        <item x="10"/>
        <item x="2"/>
        <item x="9"/>
        <item x="1"/>
        <item x="8"/>
        <item x="7"/>
        <item x="5"/>
        <item x="6"/>
        <item x="12"/>
        <item x="14"/>
        <item x="3"/>
        <item x="0"/>
        <item x="15"/>
        <item t="default"/>
      </items>
    </pivotField>
    <pivotField showAll="0"/>
    <pivotField numFmtId="165" showAll="0"/>
    <pivotField numFmtId="9" showAll="0"/>
    <pivotField dataField="1" numFmtId="165" showAll="0">
      <items count="250">
        <item x="169"/>
        <item x="111"/>
        <item x="21"/>
        <item x="207"/>
        <item x="73"/>
        <item x="240"/>
        <item x="48"/>
        <item x="117"/>
        <item x="41"/>
        <item x="7"/>
        <item x="161"/>
        <item x="55"/>
        <item x="206"/>
        <item x="194"/>
        <item x="114"/>
        <item x="145"/>
        <item x="66"/>
        <item x="142"/>
        <item x="78"/>
        <item x="139"/>
        <item x="200"/>
        <item x="5"/>
        <item x="130"/>
        <item x="40"/>
        <item x="128"/>
        <item x="106"/>
        <item x="119"/>
        <item x="140"/>
        <item x="170"/>
        <item x="146"/>
        <item x="193"/>
        <item x="141"/>
        <item x="203"/>
        <item x="43"/>
        <item x="12"/>
        <item x="72"/>
        <item x="82"/>
        <item x="227"/>
        <item x="104"/>
        <item x="92"/>
        <item x="201"/>
        <item x="74"/>
        <item x="234"/>
        <item x="36"/>
        <item x="51"/>
        <item x="166"/>
        <item x="67"/>
        <item x="243"/>
        <item x="205"/>
        <item x="136"/>
        <item x="216"/>
        <item x="31"/>
        <item x="248"/>
        <item x="165"/>
        <item x="189"/>
        <item x="147"/>
        <item x="25"/>
        <item x="9"/>
        <item x="226"/>
        <item x="17"/>
        <item x="178"/>
        <item x="242"/>
        <item x="223"/>
        <item x="152"/>
        <item x="109"/>
        <item x="44"/>
        <item x="20"/>
        <item x="196"/>
        <item x="76"/>
        <item x="77"/>
        <item x="3"/>
        <item x="182"/>
        <item x="33"/>
        <item x="45"/>
        <item x="71"/>
        <item x="228"/>
        <item x="94"/>
        <item x="171"/>
        <item x="185"/>
        <item x="129"/>
        <item x="42"/>
        <item x="153"/>
        <item x="218"/>
        <item x="46"/>
        <item x="172"/>
        <item x="99"/>
        <item x="81"/>
        <item x="56"/>
        <item x="213"/>
        <item x="79"/>
        <item x="164"/>
        <item x="132"/>
        <item x="224"/>
        <item x="123"/>
        <item x="68"/>
        <item x="204"/>
        <item x="4"/>
        <item x="199"/>
        <item x="236"/>
        <item x="230"/>
        <item x="84"/>
        <item x="156"/>
        <item x="229"/>
        <item x="90"/>
        <item x="112"/>
        <item x="209"/>
        <item x="60"/>
        <item x="26"/>
        <item x="239"/>
        <item x="0"/>
        <item x="65"/>
        <item x="11"/>
        <item x="10"/>
        <item x="50"/>
        <item x="215"/>
        <item x="180"/>
        <item x="155"/>
        <item x="95"/>
        <item x="173"/>
        <item x="131"/>
        <item x="137"/>
        <item x="237"/>
        <item x="38"/>
        <item x="29"/>
        <item x="53"/>
        <item x="39"/>
        <item x="23"/>
        <item x="150"/>
        <item x="175"/>
        <item x="113"/>
        <item x="148"/>
        <item x="19"/>
        <item x="88"/>
        <item x="159"/>
        <item x="83"/>
        <item x="6"/>
        <item x="14"/>
        <item x="212"/>
        <item x="177"/>
        <item x="192"/>
        <item x="163"/>
        <item x="187"/>
        <item x="214"/>
        <item x="158"/>
        <item x="181"/>
        <item x="191"/>
        <item x="24"/>
        <item x="120"/>
        <item x="102"/>
        <item x="37"/>
        <item x="16"/>
        <item x="231"/>
        <item x="222"/>
        <item x="75"/>
        <item x="235"/>
        <item x="97"/>
        <item x="197"/>
        <item x="61"/>
        <item x="100"/>
        <item x="167"/>
        <item x="34"/>
        <item x="198"/>
        <item x="162"/>
        <item x="157"/>
        <item x="13"/>
        <item x="58"/>
        <item x="217"/>
        <item x="124"/>
        <item x="211"/>
        <item x="93"/>
        <item x="127"/>
        <item x="49"/>
        <item x="57"/>
        <item x="154"/>
        <item x="115"/>
        <item x="125"/>
        <item x="179"/>
        <item x="219"/>
        <item x="160"/>
        <item x="168"/>
        <item x="18"/>
        <item x="188"/>
        <item x="241"/>
        <item x="208"/>
        <item x="143"/>
        <item x="195"/>
        <item x="247"/>
        <item x="176"/>
        <item x="35"/>
        <item x="232"/>
        <item x="221"/>
        <item x="28"/>
        <item x="47"/>
        <item x="186"/>
        <item x="27"/>
        <item x="54"/>
        <item x="22"/>
        <item x="244"/>
        <item x="190"/>
        <item x="30"/>
        <item x="103"/>
        <item x="245"/>
        <item x="149"/>
        <item x="118"/>
        <item x="108"/>
        <item x="96"/>
        <item x="91"/>
        <item x="184"/>
        <item x="64"/>
        <item x="63"/>
        <item x="2"/>
        <item x="62"/>
        <item x="15"/>
        <item x="107"/>
        <item x="174"/>
        <item x="80"/>
        <item x="183"/>
        <item x="116"/>
        <item x="133"/>
        <item x="210"/>
        <item x="52"/>
        <item x="202"/>
        <item x="238"/>
        <item x="85"/>
        <item x="89"/>
        <item x="98"/>
        <item x="105"/>
        <item x="135"/>
        <item x="70"/>
        <item x="1"/>
        <item x="138"/>
        <item x="32"/>
        <item x="122"/>
        <item x="69"/>
        <item x="59"/>
        <item x="87"/>
        <item x="220"/>
        <item x="134"/>
        <item x="101"/>
        <item x="233"/>
        <item x="110"/>
        <item x="246"/>
        <item x="86"/>
        <item x="225"/>
        <item x="144"/>
        <item x="121"/>
        <item x="8"/>
        <item x="126"/>
        <item x="151"/>
        <item t="default"/>
      </items>
    </pivotField>
    <pivotField numFmtId="165" showAll="0"/>
    <pivotField numFmtId="165" showAll="0"/>
    <pivotField numFmtId="10" showAll="0"/>
    <pivotField showAll="0">
      <items count="6">
        <item x="0"/>
        <item x="3"/>
        <item x="2"/>
        <item x="4"/>
        <item x="1"/>
        <item t="default"/>
      </items>
    </pivotField>
    <pivotField showAll="0"/>
    <pivotField showAll="0"/>
    <pivotField showAll="0">
      <items count="5">
        <item x="0"/>
        <item x="1"/>
        <item x="3"/>
        <item x="2"/>
        <item t="default"/>
      </items>
    </pivotField>
  </pivotFields>
  <rowFields count="1">
    <field x="6"/>
  </rowFields>
  <rowItems count="15">
    <i>
      <x/>
    </i>
    <i>
      <x v="1"/>
    </i>
    <i>
      <x v="2"/>
    </i>
    <i>
      <x v="3"/>
    </i>
    <i>
      <x v="4"/>
    </i>
    <i>
      <x v="5"/>
    </i>
    <i>
      <x v="6"/>
    </i>
    <i>
      <x v="7"/>
    </i>
    <i>
      <x v="8"/>
    </i>
    <i>
      <x v="9"/>
    </i>
    <i>
      <x v="10"/>
    </i>
    <i>
      <x v="11"/>
    </i>
    <i>
      <x v="12"/>
    </i>
    <i>
      <x v="13"/>
    </i>
    <i t="grand">
      <x/>
    </i>
  </rowItems>
  <colItems count="1">
    <i/>
  </colItems>
  <dataFields count="1">
    <dataField name="Sum of Sales Amount" fld="17" baseField="0" baseItem="0" numFmtId="165"/>
  </dataFields>
  <chartFormats count="1">
    <chartFormat chart="7"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B1A0D9-F11E-4F1C-ABA7-61B8552C4C69}" name="PivotTable3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46:H52"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165" showAll="0"/>
    <pivotField numFmtId="9" showAll="0"/>
    <pivotField numFmtId="165" showAll="0"/>
    <pivotField numFmtId="165" showAll="0"/>
    <pivotField numFmtId="165" showAll="0"/>
    <pivotField numFmtId="10" showAll="0"/>
    <pivotField showAll="0"/>
    <pivotField showAll="0"/>
    <pivotField showAll="0"/>
    <pivotField axis="axisRow" showAll="0">
      <items count="6">
        <item x="0"/>
        <item x="1"/>
        <item x="3"/>
        <item x="2"/>
        <item x="4"/>
        <item t="default"/>
      </items>
    </pivotField>
  </pivotFields>
  <rowFields count="1">
    <field x="24"/>
  </rowFields>
  <rowItems count="6">
    <i>
      <x/>
    </i>
    <i>
      <x v="1"/>
    </i>
    <i>
      <x v="2"/>
    </i>
    <i>
      <x v="3"/>
    </i>
    <i>
      <x v="4"/>
    </i>
    <i t="grand">
      <x/>
    </i>
  </rowItems>
  <colItems count="1">
    <i/>
  </colItems>
  <dataFields count="1">
    <dataField name="Count of Product" fld="13"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92083C-3E97-497D-95CD-BFE1C66135C7}"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E38:AE39"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9" showAll="0"/>
    <pivotField dataField="1" numFmtId="165" showAll="0"/>
    <pivotField numFmtId="165" showAll="0"/>
    <pivotField numFmtId="165" showAll="0"/>
    <pivotField numFmtId="10" showAll="0"/>
    <pivotField showAll="0"/>
    <pivotField showAll="0"/>
    <pivotField showAll="0"/>
    <pivotField showAll="0">
      <items count="6">
        <item x="0"/>
        <item x="1"/>
        <item x="3"/>
        <item x="2"/>
        <item x="4"/>
        <item t="default"/>
      </items>
    </pivotField>
  </pivotFields>
  <rowItems count="1">
    <i/>
  </rowItems>
  <colItems count="1">
    <i/>
  </colItems>
  <dataFields count="1">
    <dataField name="Sum of Sales Amount" fld="17" baseField="0" baseItem="0" numFmtId="165"/>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777B5D-961D-4B5D-8A4E-30E08AB50C84}" name="PivotTable10"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E48:AF63" firstHeaderRow="1" firstDataRow="1" firstDataCol="1"/>
  <pivotFields count="25">
    <pivotField showAll="0"/>
    <pivotField showAll="0"/>
    <pivotField showAll="0"/>
    <pivotField showAll="0">
      <items count="5">
        <item x="0"/>
        <item x="3"/>
        <item x="2"/>
        <item x="1"/>
        <item t="default"/>
      </items>
    </pivotField>
    <pivotField showAll="0"/>
    <pivotField showAll="0">
      <items count="5">
        <item x="0"/>
        <item x="1"/>
        <item x="3"/>
        <item x="2"/>
        <item t="default"/>
      </items>
    </pivotField>
    <pivotField axis="axisRow" showAll="0">
      <items count="15">
        <item x="11"/>
        <item x="3"/>
        <item x="8"/>
        <item x="10"/>
        <item x="7"/>
        <item x="12"/>
        <item x="4"/>
        <item x="0"/>
        <item x="6"/>
        <item x="1"/>
        <item x="13"/>
        <item x="5"/>
        <item x="9"/>
        <item x="2"/>
        <item t="default"/>
      </items>
    </pivotField>
    <pivotField showAll="0">
      <items count="27">
        <item x="18"/>
        <item x="11"/>
        <item x="7"/>
        <item x="0"/>
        <item x="22"/>
        <item x="21"/>
        <item x="8"/>
        <item x="5"/>
        <item x="20"/>
        <item x="12"/>
        <item x="25"/>
        <item x="2"/>
        <item x="23"/>
        <item x="6"/>
        <item x="9"/>
        <item x="17"/>
        <item x="14"/>
        <item x="3"/>
        <item x="24"/>
        <item x="10"/>
        <item x="16"/>
        <item x="4"/>
        <item x="13"/>
        <item x="15"/>
        <item x="19"/>
        <item x="1"/>
        <item t="default"/>
      </items>
    </pivotField>
    <pivotField showAll="0"/>
    <pivotField showAll="0"/>
    <pivotField showAll="0">
      <items count="11">
        <item x="1"/>
        <item x="4"/>
        <item x="7"/>
        <item x="0"/>
        <item x="5"/>
        <item x="9"/>
        <item x="6"/>
        <item x="3"/>
        <item x="2"/>
        <item x="8"/>
        <item t="default"/>
      </items>
    </pivotField>
    <pivotField showAll="0">
      <items count="5">
        <item x="0"/>
        <item x="1"/>
        <item x="2"/>
        <item x="3"/>
        <item t="default"/>
      </items>
    </pivotField>
    <pivotField showAll="0"/>
    <pivotField showAll="0">
      <items count="19">
        <item x="16"/>
        <item x="17"/>
        <item x="13"/>
        <item x="11"/>
        <item x="4"/>
        <item x="10"/>
        <item x="2"/>
        <item x="9"/>
        <item x="1"/>
        <item x="8"/>
        <item x="7"/>
        <item x="5"/>
        <item x="6"/>
        <item x="12"/>
        <item x="14"/>
        <item x="3"/>
        <item x="0"/>
        <item x="15"/>
        <item t="default"/>
      </items>
    </pivotField>
    <pivotField showAll="0"/>
    <pivotField numFmtId="165" showAll="0"/>
    <pivotField numFmtId="9" showAll="0"/>
    <pivotField dataField="1" numFmtId="165" showAll="0">
      <items count="250">
        <item x="169"/>
        <item x="111"/>
        <item x="21"/>
        <item x="207"/>
        <item x="73"/>
        <item x="240"/>
        <item x="48"/>
        <item x="117"/>
        <item x="41"/>
        <item x="7"/>
        <item x="161"/>
        <item x="55"/>
        <item x="206"/>
        <item x="194"/>
        <item x="114"/>
        <item x="145"/>
        <item x="66"/>
        <item x="142"/>
        <item x="78"/>
        <item x="139"/>
        <item x="200"/>
        <item x="5"/>
        <item x="130"/>
        <item x="40"/>
        <item x="128"/>
        <item x="106"/>
        <item x="119"/>
        <item x="140"/>
        <item x="170"/>
        <item x="146"/>
        <item x="193"/>
        <item x="141"/>
        <item x="203"/>
        <item x="43"/>
        <item x="12"/>
        <item x="72"/>
        <item x="82"/>
        <item x="227"/>
        <item x="104"/>
        <item x="92"/>
        <item x="201"/>
        <item x="74"/>
        <item x="234"/>
        <item x="36"/>
        <item x="51"/>
        <item x="166"/>
        <item x="67"/>
        <item x="243"/>
        <item x="205"/>
        <item x="136"/>
        <item x="216"/>
        <item x="31"/>
        <item x="248"/>
        <item x="165"/>
        <item x="189"/>
        <item x="147"/>
        <item x="25"/>
        <item x="9"/>
        <item x="226"/>
        <item x="17"/>
        <item x="178"/>
        <item x="242"/>
        <item x="223"/>
        <item x="152"/>
        <item x="109"/>
        <item x="44"/>
        <item x="20"/>
        <item x="196"/>
        <item x="76"/>
        <item x="77"/>
        <item x="3"/>
        <item x="182"/>
        <item x="33"/>
        <item x="45"/>
        <item x="71"/>
        <item x="228"/>
        <item x="94"/>
        <item x="171"/>
        <item x="185"/>
        <item x="129"/>
        <item x="42"/>
        <item x="153"/>
        <item x="218"/>
        <item x="46"/>
        <item x="172"/>
        <item x="99"/>
        <item x="81"/>
        <item x="56"/>
        <item x="213"/>
        <item x="79"/>
        <item x="164"/>
        <item x="132"/>
        <item x="224"/>
        <item x="123"/>
        <item x="68"/>
        <item x="204"/>
        <item x="4"/>
        <item x="199"/>
        <item x="236"/>
        <item x="230"/>
        <item x="84"/>
        <item x="156"/>
        <item x="229"/>
        <item x="90"/>
        <item x="112"/>
        <item x="209"/>
        <item x="60"/>
        <item x="26"/>
        <item x="239"/>
        <item x="0"/>
        <item x="65"/>
        <item x="11"/>
        <item x="10"/>
        <item x="50"/>
        <item x="215"/>
        <item x="180"/>
        <item x="155"/>
        <item x="95"/>
        <item x="173"/>
        <item x="131"/>
        <item x="137"/>
        <item x="237"/>
        <item x="38"/>
        <item x="29"/>
        <item x="53"/>
        <item x="39"/>
        <item x="23"/>
        <item x="150"/>
        <item x="175"/>
        <item x="113"/>
        <item x="148"/>
        <item x="19"/>
        <item x="88"/>
        <item x="159"/>
        <item x="83"/>
        <item x="6"/>
        <item x="14"/>
        <item x="212"/>
        <item x="177"/>
        <item x="192"/>
        <item x="163"/>
        <item x="187"/>
        <item x="214"/>
        <item x="158"/>
        <item x="181"/>
        <item x="191"/>
        <item x="24"/>
        <item x="120"/>
        <item x="102"/>
        <item x="37"/>
        <item x="16"/>
        <item x="231"/>
        <item x="222"/>
        <item x="75"/>
        <item x="235"/>
        <item x="97"/>
        <item x="197"/>
        <item x="61"/>
        <item x="100"/>
        <item x="167"/>
        <item x="34"/>
        <item x="198"/>
        <item x="162"/>
        <item x="157"/>
        <item x="13"/>
        <item x="58"/>
        <item x="217"/>
        <item x="124"/>
        <item x="211"/>
        <item x="93"/>
        <item x="127"/>
        <item x="49"/>
        <item x="57"/>
        <item x="154"/>
        <item x="115"/>
        <item x="125"/>
        <item x="179"/>
        <item x="219"/>
        <item x="160"/>
        <item x="168"/>
        <item x="18"/>
        <item x="188"/>
        <item x="241"/>
        <item x="208"/>
        <item x="143"/>
        <item x="195"/>
        <item x="247"/>
        <item x="176"/>
        <item x="35"/>
        <item x="232"/>
        <item x="221"/>
        <item x="28"/>
        <item x="47"/>
        <item x="186"/>
        <item x="27"/>
        <item x="54"/>
        <item x="22"/>
        <item x="244"/>
        <item x="190"/>
        <item x="30"/>
        <item x="103"/>
        <item x="245"/>
        <item x="149"/>
        <item x="118"/>
        <item x="108"/>
        <item x="96"/>
        <item x="91"/>
        <item x="184"/>
        <item x="64"/>
        <item x="63"/>
        <item x="2"/>
        <item x="62"/>
        <item x="15"/>
        <item x="107"/>
        <item x="174"/>
        <item x="80"/>
        <item x="183"/>
        <item x="116"/>
        <item x="133"/>
        <item x="210"/>
        <item x="52"/>
        <item x="202"/>
        <item x="238"/>
        <item x="85"/>
        <item x="89"/>
        <item x="98"/>
        <item x="105"/>
        <item x="135"/>
        <item x="70"/>
        <item x="1"/>
        <item x="138"/>
        <item x="32"/>
        <item x="122"/>
        <item x="69"/>
        <item x="59"/>
        <item x="87"/>
        <item x="220"/>
        <item x="134"/>
        <item x="101"/>
        <item x="233"/>
        <item x="110"/>
        <item x="246"/>
        <item x="86"/>
        <item x="225"/>
        <item x="144"/>
        <item x="121"/>
        <item x="8"/>
        <item x="126"/>
        <item x="151"/>
        <item t="default"/>
      </items>
    </pivotField>
    <pivotField numFmtId="165" showAll="0"/>
    <pivotField numFmtId="165" showAll="0"/>
    <pivotField numFmtId="10" showAll="0"/>
    <pivotField showAll="0">
      <items count="6">
        <item x="0"/>
        <item x="3"/>
        <item x="2"/>
        <item x="4"/>
        <item x="1"/>
        <item t="default"/>
      </items>
    </pivotField>
    <pivotField showAll="0"/>
    <pivotField showAll="0"/>
    <pivotField showAll="0">
      <items count="5">
        <item x="0"/>
        <item x="1"/>
        <item x="3"/>
        <item x="2"/>
        <item t="default"/>
      </items>
    </pivotField>
  </pivotFields>
  <rowFields count="1">
    <field x="6"/>
  </rowFields>
  <rowItems count="15">
    <i>
      <x/>
    </i>
    <i>
      <x v="1"/>
    </i>
    <i>
      <x v="2"/>
    </i>
    <i>
      <x v="3"/>
    </i>
    <i>
      <x v="4"/>
    </i>
    <i>
      <x v="5"/>
    </i>
    <i>
      <x v="6"/>
    </i>
    <i>
      <x v="7"/>
    </i>
    <i>
      <x v="8"/>
    </i>
    <i>
      <x v="9"/>
    </i>
    <i>
      <x v="10"/>
    </i>
    <i>
      <x v="11"/>
    </i>
    <i>
      <x v="12"/>
    </i>
    <i>
      <x v="13"/>
    </i>
    <i t="grand">
      <x/>
    </i>
  </rowItems>
  <colItems count="1">
    <i/>
  </colItems>
  <dataFields count="1">
    <dataField name="Sum of Sales Amount" fld="17" baseField="0" baseItem="0" numFmtId="165"/>
  </dataFields>
  <chartFormats count="1">
    <chartFormat chart="7"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AC36EB-700A-45F1-8F5F-2AE1428D30AC}" name="PivotTable17"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E85:AF126" firstHeaderRow="1" firstDataRow="1" firstDataCol="1"/>
  <pivotFields count="25">
    <pivotField showAll="0"/>
    <pivotField showAll="0"/>
    <pivotField showAll="0"/>
    <pivotField showAll="0">
      <items count="5">
        <item x="0"/>
        <item x="3"/>
        <item x="2"/>
        <item x="1"/>
        <item t="default"/>
      </items>
    </pivotField>
    <pivotField showAll="0"/>
    <pivotField showAll="0">
      <items count="5">
        <item x="0"/>
        <item x="1"/>
        <item x="3"/>
        <item x="2"/>
        <item t="default"/>
      </items>
    </pivotField>
    <pivotField axis="axisRow" showAll="0">
      <items count="15">
        <item x="11"/>
        <item x="3"/>
        <item x="8"/>
        <item x="10"/>
        <item x="7"/>
        <item x="12"/>
        <item x="4"/>
        <item x="0"/>
        <item x="6"/>
        <item x="1"/>
        <item x="13"/>
        <item x="5"/>
        <item x="9"/>
        <item x="2"/>
        <item t="default"/>
      </items>
    </pivotField>
    <pivotField axis="axisRow" showAll="0">
      <items count="27">
        <item x="18"/>
        <item x="11"/>
        <item x="7"/>
        <item x="0"/>
        <item x="22"/>
        <item x="21"/>
        <item x="8"/>
        <item x="5"/>
        <item x="20"/>
        <item x="12"/>
        <item x="25"/>
        <item x="2"/>
        <item x="23"/>
        <item x="6"/>
        <item x="9"/>
        <item x="17"/>
        <item x="14"/>
        <item x="3"/>
        <item x="24"/>
        <item x="10"/>
        <item x="16"/>
        <item x="4"/>
        <item x="13"/>
        <item x="15"/>
        <item x="19"/>
        <item x="1"/>
        <item t="default"/>
      </items>
    </pivotField>
    <pivotField showAll="0"/>
    <pivotField showAll="0"/>
    <pivotField showAll="0">
      <items count="11">
        <item x="1"/>
        <item x="4"/>
        <item x="7"/>
        <item x="0"/>
        <item x="5"/>
        <item x="9"/>
        <item x="6"/>
        <item x="3"/>
        <item x="2"/>
        <item x="8"/>
        <item t="default"/>
      </items>
    </pivotField>
    <pivotField showAll="0">
      <items count="5">
        <item x="0"/>
        <item x="1"/>
        <item x="2"/>
        <item x="3"/>
        <item t="default"/>
      </items>
    </pivotField>
    <pivotField showAll="0"/>
    <pivotField showAll="0">
      <items count="19">
        <item x="16"/>
        <item x="17"/>
        <item x="13"/>
        <item x="11"/>
        <item x="4"/>
        <item x="10"/>
        <item x="2"/>
        <item x="9"/>
        <item x="1"/>
        <item x="8"/>
        <item x="7"/>
        <item x="5"/>
        <item x="6"/>
        <item x="12"/>
        <item x="14"/>
        <item x="3"/>
        <item x="0"/>
        <item x="15"/>
        <item t="default"/>
      </items>
    </pivotField>
    <pivotField showAll="0"/>
    <pivotField numFmtId="165" showAll="0"/>
    <pivotField numFmtId="9" showAll="0"/>
    <pivotField dataField="1" numFmtId="165" showAll="0">
      <items count="250">
        <item x="169"/>
        <item x="111"/>
        <item x="21"/>
        <item x="207"/>
        <item x="73"/>
        <item x="240"/>
        <item x="48"/>
        <item x="117"/>
        <item x="41"/>
        <item x="7"/>
        <item x="161"/>
        <item x="55"/>
        <item x="206"/>
        <item x="194"/>
        <item x="114"/>
        <item x="145"/>
        <item x="66"/>
        <item x="142"/>
        <item x="78"/>
        <item x="139"/>
        <item x="200"/>
        <item x="5"/>
        <item x="130"/>
        <item x="40"/>
        <item x="128"/>
        <item x="106"/>
        <item x="119"/>
        <item x="140"/>
        <item x="170"/>
        <item x="146"/>
        <item x="193"/>
        <item x="141"/>
        <item x="203"/>
        <item x="43"/>
        <item x="12"/>
        <item x="72"/>
        <item x="82"/>
        <item x="227"/>
        <item x="104"/>
        <item x="92"/>
        <item x="201"/>
        <item x="74"/>
        <item x="234"/>
        <item x="36"/>
        <item x="51"/>
        <item x="166"/>
        <item x="67"/>
        <item x="243"/>
        <item x="205"/>
        <item x="136"/>
        <item x="216"/>
        <item x="31"/>
        <item x="248"/>
        <item x="165"/>
        <item x="189"/>
        <item x="147"/>
        <item x="25"/>
        <item x="9"/>
        <item x="226"/>
        <item x="17"/>
        <item x="178"/>
        <item x="242"/>
        <item x="223"/>
        <item x="152"/>
        <item x="109"/>
        <item x="44"/>
        <item x="20"/>
        <item x="196"/>
        <item x="76"/>
        <item x="77"/>
        <item x="3"/>
        <item x="182"/>
        <item x="33"/>
        <item x="45"/>
        <item x="71"/>
        <item x="228"/>
        <item x="94"/>
        <item x="171"/>
        <item x="185"/>
        <item x="129"/>
        <item x="42"/>
        <item x="153"/>
        <item x="218"/>
        <item x="46"/>
        <item x="172"/>
        <item x="99"/>
        <item x="81"/>
        <item x="56"/>
        <item x="213"/>
        <item x="79"/>
        <item x="164"/>
        <item x="132"/>
        <item x="224"/>
        <item x="123"/>
        <item x="68"/>
        <item x="204"/>
        <item x="4"/>
        <item x="199"/>
        <item x="236"/>
        <item x="230"/>
        <item x="84"/>
        <item x="156"/>
        <item x="229"/>
        <item x="90"/>
        <item x="112"/>
        <item x="209"/>
        <item x="60"/>
        <item x="26"/>
        <item x="239"/>
        <item x="0"/>
        <item x="65"/>
        <item x="11"/>
        <item x="10"/>
        <item x="50"/>
        <item x="215"/>
        <item x="180"/>
        <item x="155"/>
        <item x="95"/>
        <item x="173"/>
        <item x="131"/>
        <item x="137"/>
        <item x="237"/>
        <item x="38"/>
        <item x="29"/>
        <item x="53"/>
        <item x="39"/>
        <item x="23"/>
        <item x="150"/>
        <item x="175"/>
        <item x="113"/>
        <item x="148"/>
        <item x="19"/>
        <item x="88"/>
        <item x="159"/>
        <item x="83"/>
        <item x="6"/>
        <item x="14"/>
        <item x="212"/>
        <item x="177"/>
        <item x="192"/>
        <item x="163"/>
        <item x="187"/>
        <item x="214"/>
        <item x="158"/>
        <item x="181"/>
        <item x="191"/>
        <item x="24"/>
        <item x="120"/>
        <item x="102"/>
        <item x="37"/>
        <item x="16"/>
        <item x="231"/>
        <item x="222"/>
        <item x="75"/>
        <item x="235"/>
        <item x="97"/>
        <item x="197"/>
        <item x="61"/>
        <item x="100"/>
        <item x="167"/>
        <item x="34"/>
        <item x="198"/>
        <item x="162"/>
        <item x="157"/>
        <item x="13"/>
        <item x="58"/>
        <item x="217"/>
        <item x="124"/>
        <item x="211"/>
        <item x="93"/>
        <item x="127"/>
        <item x="49"/>
        <item x="57"/>
        <item x="154"/>
        <item x="115"/>
        <item x="125"/>
        <item x="179"/>
        <item x="219"/>
        <item x="160"/>
        <item x="168"/>
        <item x="18"/>
        <item x="188"/>
        <item x="241"/>
        <item x="208"/>
        <item x="143"/>
        <item x="195"/>
        <item x="247"/>
        <item x="176"/>
        <item x="35"/>
        <item x="232"/>
        <item x="221"/>
        <item x="28"/>
        <item x="47"/>
        <item x="186"/>
        <item x="27"/>
        <item x="54"/>
        <item x="22"/>
        <item x="244"/>
        <item x="190"/>
        <item x="30"/>
        <item x="103"/>
        <item x="245"/>
        <item x="149"/>
        <item x="118"/>
        <item x="108"/>
        <item x="96"/>
        <item x="91"/>
        <item x="184"/>
        <item x="64"/>
        <item x="63"/>
        <item x="2"/>
        <item x="62"/>
        <item x="15"/>
        <item x="107"/>
        <item x="174"/>
        <item x="80"/>
        <item x="183"/>
        <item x="116"/>
        <item x="133"/>
        <item x="210"/>
        <item x="52"/>
        <item x="202"/>
        <item x="238"/>
        <item x="85"/>
        <item x="89"/>
        <item x="98"/>
        <item x="105"/>
        <item x="135"/>
        <item x="70"/>
        <item x="1"/>
        <item x="138"/>
        <item x="32"/>
        <item x="122"/>
        <item x="69"/>
        <item x="59"/>
        <item x="87"/>
        <item x="220"/>
        <item x="134"/>
        <item x="101"/>
        <item x="233"/>
        <item x="110"/>
        <item x="246"/>
        <item x="86"/>
        <item x="225"/>
        <item x="144"/>
        <item x="121"/>
        <item x="8"/>
        <item x="126"/>
        <item x="151"/>
        <item t="default"/>
      </items>
    </pivotField>
    <pivotField numFmtId="165" showAll="0"/>
    <pivotField numFmtId="165" showAll="0"/>
    <pivotField numFmtId="10" showAll="0"/>
    <pivotField showAll="0">
      <items count="6">
        <item x="0"/>
        <item x="3"/>
        <item x="2"/>
        <item x="4"/>
        <item x="1"/>
        <item t="default"/>
      </items>
    </pivotField>
    <pivotField showAll="0"/>
    <pivotField showAll="0"/>
    <pivotField showAll="0">
      <items count="5">
        <item x="0"/>
        <item x="1"/>
        <item x="3"/>
        <item x="2"/>
        <item t="default"/>
      </items>
    </pivotField>
  </pivotFields>
  <rowFields count="2">
    <field x="6"/>
    <field x="7"/>
  </rowFields>
  <rowItems count="41">
    <i>
      <x/>
    </i>
    <i r="1">
      <x v="20"/>
    </i>
    <i>
      <x v="1"/>
    </i>
    <i r="1">
      <x v="17"/>
    </i>
    <i>
      <x v="2"/>
    </i>
    <i r="1">
      <x v="19"/>
    </i>
    <i>
      <x v="3"/>
    </i>
    <i r="1">
      <x/>
    </i>
    <i r="1">
      <x v="23"/>
    </i>
    <i>
      <x v="4"/>
    </i>
    <i r="1">
      <x v="2"/>
    </i>
    <i r="1">
      <x v="15"/>
    </i>
    <i>
      <x v="5"/>
    </i>
    <i r="1">
      <x v="10"/>
    </i>
    <i r="1">
      <x v="24"/>
    </i>
    <i>
      <x v="6"/>
    </i>
    <i r="1">
      <x v="14"/>
    </i>
    <i r="1">
      <x v="16"/>
    </i>
    <i r="1">
      <x v="21"/>
    </i>
    <i>
      <x v="7"/>
    </i>
    <i r="1">
      <x v="3"/>
    </i>
    <i r="1">
      <x v="6"/>
    </i>
    <i>
      <x v="8"/>
    </i>
    <i r="1">
      <x v="1"/>
    </i>
    <i r="1">
      <x v="13"/>
    </i>
    <i>
      <x v="9"/>
    </i>
    <i r="1">
      <x v="8"/>
    </i>
    <i r="1">
      <x v="25"/>
    </i>
    <i>
      <x v="10"/>
    </i>
    <i r="1">
      <x v="4"/>
    </i>
    <i r="1">
      <x v="5"/>
    </i>
    <i>
      <x v="11"/>
    </i>
    <i r="1">
      <x v="7"/>
    </i>
    <i>
      <x v="12"/>
    </i>
    <i r="1">
      <x v="9"/>
    </i>
    <i r="1">
      <x v="12"/>
    </i>
    <i r="1">
      <x v="18"/>
    </i>
    <i>
      <x v="13"/>
    </i>
    <i r="1">
      <x v="11"/>
    </i>
    <i r="1">
      <x v="22"/>
    </i>
    <i t="grand">
      <x/>
    </i>
  </rowItems>
  <colItems count="1">
    <i/>
  </colItems>
  <dataFields count="1">
    <dataField name="Sum of Sales Amount" fld="17" baseField="0" baseItem="0" numFmtId="165"/>
  </dataFields>
  <chartFormats count="1">
    <chartFormat chart="7"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C4D8E1-E3A2-4074-9900-A948697C2E85}" name="PivotTable1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E22:AH27" firstHeaderRow="0" firstDataRow="1" firstDataCol="1"/>
  <pivotFields count="25">
    <pivotField showAll="0"/>
    <pivotField showAll="0"/>
    <pivotField showAll="0"/>
    <pivotField showAll="0">
      <items count="5">
        <item x="0"/>
        <item x="3"/>
        <item x="2"/>
        <item x="1"/>
        <item t="default"/>
      </items>
    </pivotField>
    <pivotField showAll="0"/>
    <pivotField showAll="0">
      <items count="5">
        <item sd="0" x="0"/>
        <item sd="0" x="1"/>
        <item sd="0" x="3"/>
        <item sd="0" x="2"/>
        <item t="default"/>
      </items>
    </pivotField>
    <pivotField showAll="0">
      <items count="15">
        <item sd="0" x="11"/>
        <item sd="0" x="3"/>
        <item x="8"/>
        <item x="10"/>
        <item sd="0" x="7"/>
        <item sd="0" x="12"/>
        <item x="4"/>
        <item sd="0" x="0"/>
        <item sd="0" x="6"/>
        <item sd="0" x="1"/>
        <item sd="0" x="13"/>
        <item sd="0" x="5"/>
        <item sd="0" x="9"/>
        <item sd="0" x="2"/>
        <item t="default"/>
      </items>
    </pivotField>
    <pivotField showAll="0"/>
    <pivotField showAll="0"/>
    <pivotField showAll="0"/>
    <pivotField showAll="0"/>
    <pivotField axis="axisRow" showAll="0">
      <items count="5">
        <item x="0"/>
        <item x="1"/>
        <item x="2"/>
        <item x="3"/>
        <item t="default"/>
      </items>
    </pivotField>
    <pivotField showAll="0"/>
    <pivotField showAll="0">
      <items count="19">
        <item x="16"/>
        <item x="17"/>
        <item x="13"/>
        <item x="11"/>
        <item x="4"/>
        <item x="10"/>
        <item x="2"/>
        <item x="9"/>
        <item x="1"/>
        <item x="8"/>
        <item x="7"/>
        <item x="5"/>
        <item x="6"/>
        <item x="12"/>
        <item x="14"/>
        <item x="3"/>
        <item x="0"/>
        <item x="15"/>
        <item t="default"/>
      </items>
    </pivotField>
    <pivotField dataField="1" showAll="0"/>
    <pivotField dataField="1" numFmtId="165" showAll="0"/>
    <pivotField numFmtId="9" showAll="0"/>
    <pivotField numFmtId="165" showAll="0">
      <items count="250">
        <item x="169"/>
        <item x="111"/>
        <item x="21"/>
        <item x="207"/>
        <item x="73"/>
        <item x="240"/>
        <item x="48"/>
        <item x="117"/>
        <item x="41"/>
        <item x="7"/>
        <item x="161"/>
        <item x="55"/>
        <item x="206"/>
        <item x="194"/>
        <item x="114"/>
        <item x="145"/>
        <item x="66"/>
        <item x="142"/>
        <item x="78"/>
        <item x="139"/>
        <item x="200"/>
        <item x="5"/>
        <item x="130"/>
        <item x="40"/>
        <item x="128"/>
        <item x="106"/>
        <item x="119"/>
        <item x="140"/>
        <item x="170"/>
        <item x="146"/>
        <item x="193"/>
        <item x="141"/>
        <item x="203"/>
        <item x="43"/>
        <item x="12"/>
        <item x="72"/>
        <item x="82"/>
        <item x="227"/>
        <item x="104"/>
        <item x="92"/>
        <item x="201"/>
        <item x="74"/>
        <item x="234"/>
        <item x="36"/>
        <item x="51"/>
        <item x="166"/>
        <item x="67"/>
        <item x="243"/>
        <item x="205"/>
        <item x="136"/>
        <item x="216"/>
        <item x="31"/>
        <item x="248"/>
        <item x="165"/>
        <item x="189"/>
        <item x="147"/>
        <item x="25"/>
        <item x="9"/>
        <item x="226"/>
        <item x="17"/>
        <item x="178"/>
        <item x="242"/>
        <item x="223"/>
        <item x="152"/>
        <item x="109"/>
        <item x="44"/>
        <item x="20"/>
        <item x="196"/>
        <item x="76"/>
        <item x="77"/>
        <item x="3"/>
        <item x="182"/>
        <item x="33"/>
        <item x="45"/>
        <item x="71"/>
        <item x="228"/>
        <item x="94"/>
        <item x="171"/>
        <item x="185"/>
        <item x="129"/>
        <item x="42"/>
        <item x="153"/>
        <item x="218"/>
        <item x="46"/>
        <item x="172"/>
        <item x="99"/>
        <item x="81"/>
        <item x="56"/>
        <item x="213"/>
        <item x="79"/>
        <item x="164"/>
        <item x="132"/>
        <item x="224"/>
        <item x="123"/>
        <item x="68"/>
        <item x="204"/>
        <item x="4"/>
        <item x="199"/>
        <item x="236"/>
        <item x="230"/>
        <item x="84"/>
        <item x="156"/>
        <item x="229"/>
        <item x="90"/>
        <item x="112"/>
        <item x="209"/>
        <item x="60"/>
        <item x="26"/>
        <item x="239"/>
        <item x="0"/>
        <item x="65"/>
        <item x="11"/>
        <item x="10"/>
        <item x="50"/>
        <item x="215"/>
        <item x="180"/>
        <item x="155"/>
        <item x="95"/>
        <item x="173"/>
        <item x="131"/>
        <item x="137"/>
        <item x="237"/>
        <item x="38"/>
        <item x="29"/>
        <item x="53"/>
        <item x="39"/>
        <item x="23"/>
        <item x="150"/>
        <item x="175"/>
        <item x="113"/>
        <item x="148"/>
        <item x="19"/>
        <item x="88"/>
        <item x="159"/>
        <item x="83"/>
        <item x="6"/>
        <item x="14"/>
        <item x="212"/>
        <item x="177"/>
        <item x="192"/>
        <item x="163"/>
        <item x="187"/>
        <item x="214"/>
        <item x="158"/>
        <item x="181"/>
        <item x="191"/>
        <item x="24"/>
        <item x="120"/>
        <item x="102"/>
        <item x="37"/>
        <item x="16"/>
        <item x="231"/>
        <item x="222"/>
        <item x="75"/>
        <item x="235"/>
        <item x="97"/>
        <item x="197"/>
        <item x="61"/>
        <item x="100"/>
        <item x="167"/>
        <item x="34"/>
        <item x="198"/>
        <item x="162"/>
        <item x="157"/>
        <item x="13"/>
        <item x="58"/>
        <item x="217"/>
        <item x="124"/>
        <item x="211"/>
        <item x="93"/>
        <item x="127"/>
        <item x="49"/>
        <item x="57"/>
        <item x="154"/>
        <item x="115"/>
        <item x="125"/>
        <item x="179"/>
        <item x="219"/>
        <item x="160"/>
        <item x="168"/>
        <item x="18"/>
        <item x="188"/>
        <item x="241"/>
        <item x="208"/>
        <item x="143"/>
        <item x="195"/>
        <item x="247"/>
        <item x="176"/>
        <item x="35"/>
        <item x="232"/>
        <item x="221"/>
        <item x="28"/>
        <item x="47"/>
        <item x="186"/>
        <item x="27"/>
        <item x="54"/>
        <item x="22"/>
        <item x="244"/>
        <item x="190"/>
        <item x="30"/>
        <item x="103"/>
        <item x="245"/>
        <item x="149"/>
        <item x="118"/>
        <item x="108"/>
        <item x="96"/>
        <item x="91"/>
        <item x="184"/>
        <item x="64"/>
        <item x="63"/>
        <item x="2"/>
        <item x="62"/>
        <item x="15"/>
        <item x="107"/>
        <item x="174"/>
        <item x="80"/>
        <item x="183"/>
        <item x="116"/>
        <item x="133"/>
        <item x="210"/>
        <item x="52"/>
        <item x="202"/>
        <item x="238"/>
        <item x="85"/>
        <item x="89"/>
        <item x="98"/>
        <item x="105"/>
        <item x="135"/>
        <item x="70"/>
        <item x="1"/>
        <item x="138"/>
        <item x="32"/>
        <item x="122"/>
        <item x="69"/>
        <item x="59"/>
        <item x="87"/>
        <item x="220"/>
        <item x="134"/>
        <item x="101"/>
        <item x="233"/>
        <item x="110"/>
        <item x="246"/>
        <item x="86"/>
        <item x="225"/>
        <item x="144"/>
        <item x="121"/>
        <item x="8"/>
        <item x="126"/>
        <item x="151"/>
        <item t="default"/>
      </items>
    </pivotField>
    <pivotField numFmtId="165" showAll="0"/>
    <pivotField numFmtId="165" showAll="0"/>
    <pivotField numFmtId="10" showAll="0"/>
    <pivotField showAll="0">
      <items count="6">
        <item x="0"/>
        <item x="3"/>
        <item x="2"/>
        <item x="4"/>
        <item x="1"/>
        <item t="default"/>
      </items>
    </pivotField>
    <pivotField showAll="0"/>
    <pivotField showAll="0"/>
    <pivotField showAll="0">
      <items count="5">
        <item x="0"/>
        <item x="1"/>
        <item x="3"/>
        <item x="2"/>
        <item t="default"/>
      </items>
    </pivotField>
  </pivotFields>
  <rowFields count="1">
    <field x="11"/>
  </rowFields>
  <rowItems count="5">
    <i>
      <x/>
    </i>
    <i>
      <x v="1"/>
    </i>
    <i>
      <x v="2"/>
    </i>
    <i>
      <x v="3"/>
    </i>
    <i t="grand">
      <x/>
    </i>
  </rowItems>
  <colFields count="1">
    <field x="-2"/>
  </colFields>
  <colItems count="3">
    <i>
      <x/>
    </i>
    <i i="1">
      <x v="1"/>
    </i>
    <i i="2">
      <x v="2"/>
    </i>
  </colItems>
  <dataFields count="3">
    <dataField name="Sum of Unit Price" fld="15" baseField="0" baseItem="0" numFmtId="165"/>
    <dataField name="Sum of Units Sold" fld="14" baseField="0" baseItem="0"/>
    <dataField name="Sum of Unit Price2" fld="15" showDataAs="percentOfTotal" baseField="0" baseItem="0"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E95BD2-67D6-4BFA-9DEB-595F162E771A}"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7:B508"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9" showAll="0"/>
    <pivotField numFmtId="165" showAll="0"/>
    <pivotField dataField="1" numFmtId="165" showAll="0"/>
    <pivotField axis="axisRow" numFmtId="165" showAll="0">
      <items count="252">
        <item x="169"/>
        <item x="111"/>
        <item x="21"/>
        <item x="207"/>
        <item x="73"/>
        <item x="240"/>
        <item x="117"/>
        <item x="48"/>
        <item x="161"/>
        <item x="41"/>
        <item x="7"/>
        <item x="206"/>
        <item x="55"/>
        <item x="194"/>
        <item x="145"/>
        <item x="78"/>
        <item x="66"/>
        <item x="40"/>
        <item x="114"/>
        <item x="142"/>
        <item x="200"/>
        <item x="130"/>
        <item x="139"/>
        <item x="128"/>
        <item x="106"/>
        <item x="119"/>
        <item x="5"/>
        <item x="170"/>
        <item x="146"/>
        <item x="43"/>
        <item x="72"/>
        <item x="193"/>
        <item x="12"/>
        <item x="104"/>
        <item x="140"/>
        <item x="82"/>
        <item x="141"/>
        <item x="203"/>
        <item x="36"/>
        <item x="92"/>
        <item x="201"/>
        <item x="74"/>
        <item x="234"/>
        <item x="165"/>
        <item x="227"/>
        <item x="136"/>
        <item x="205"/>
        <item x="243"/>
        <item x="248"/>
        <item x="31"/>
        <item x="166"/>
        <item x="147"/>
        <item x="216"/>
        <item x="226"/>
        <item x="25"/>
        <item x="189"/>
        <item x="242"/>
        <item x="67"/>
        <item x="51"/>
        <item x="44"/>
        <item x="178"/>
        <item x="20"/>
        <item x="9"/>
        <item x="3"/>
        <item x="152"/>
        <item x="94"/>
        <item x="196"/>
        <item x="109"/>
        <item x="129"/>
        <item x="171"/>
        <item x="42"/>
        <item x="182"/>
        <item x="218"/>
        <item x="77"/>
        <item x="213"/>
        <item x="71"/>
        <item x="223"/>
        <item x="17"/>
        <item x="185"/>
        <item x="56"/>
        <item x="99"/>
        <item x="204"/>
        <item x="172"/>
        <item x="33"/>
        <item x="164"/>
        <item x="76"/>
        <item x="81"/>
        <item x="45"/>
        <item x="68"/>
        <item x="228"/>
        <item x="84"/>
        <item x="79"/>
        <item x="199"/>
        <item x="46"/>
        <item x="153"/>
        <item x="156"/>
        <item x="132"/>
        <item x="224"/>
        <item x="90"/>
        <item x="10"/>
        <item x="11"/>
        <item x="123"/>
        <item x="14"/>
        <item x="4"/>
        <item x="155"/>
        <item x="137"/>
        <item x="236"/>
        <item x="97"/>
        <item x="237"/>
        <item x="53"/>
        <item x="113"/>
        <item x="229"/>
        <item x="38"/>
        <item x="26"/>
        <item x="187"/>
        <item x="214"/>
        <item x="230"/>
        <item x="148"/>
        <item x="209"/>
        <item x="60"/>
        <item x="83"/>
        <item x="24"/>
        <item x="159"/>
        <item x="157"/>
        <item x="112"/>
        <item x="239"/>
        <item x="215"/>
        <item x="212"/>
        <item x="65"/>
        <item x="192"/>
        <item x="0"/>
        <item x="181"/>
        <item x="29"/>
        <item x="180"/>
        <item x="120"/>
        <item x="102"/>
        <item x="50"/>
        <item x="158"/>
        <item x="131"/>
        <item x="173"/>
        <item x="231"/>
        <item x="175"/>
        <item x="95"/>
        <item x="61"/>
        <item x="100"/>
        <item x="39"/>
        <item x="19"/>
        <item x="177"/>
        <item x="88"/>
        <item x="235"/>
        <item x="23"/>
        <item x="150"/>
        <item x="167"/>
        <item x="34"/>
        <item x="162"/>
        <item x="115"/>
        <item x="6"/>
        <item x="217"/>
        <item x="163"/>
        <item x="13"/>
        <item x="208"/>
        <item x="186"/>
        <item x="160"/>
        <item x="54"/>
        <item x="124"/>
        <item x="195"/>
        <item x="22"/>
        <item x="191"/>
        <item x="222"/>
        <item x="75"/>
        <item x="247"/>
        <item x="143"/>
        <item x="127"/>
        <item x="16"/>
        <item x="232"/>
        <item x="28"/>
        <item x="211"/>
        <item x="93"/>
        <item x="37"/>
        <item x="125"/>
        <item x="35"/>
        <item x="18"/>
        <item x="198"/>
        <item x="197"/>
        <item x="168"/>
        <item x="27"/>
        <item x="184"/>
        <item x="58"/>
        <item x="176"/>
        <item x="57"/>
        <item x="244"/>
        <item x="190"/>
        <item x="96"/>
        <item x="118"/>
        <item x="30"/>
        <item x="108"/>
        <item x="103"/>
        <item x="179"/>
        <item x="49"/>
        <item x="149"/>
        <item x="188"/>
        <item x="2"/>
        <item x="154"/>
        <item x="64"/>
        <item x="62"/>
        <item x="219"/>
        <item x="91"/>
        <item x="241"/>
        <item x="63"/>
        <item x="107"/>
        <item x="210"/>
        <item x="221"/>
        <item x="89"/>
        <item x="15"/>
        <item x="47"/>
        <item x="174"/>
        <item x="105"/>
        <item x="116"/>
        <item x="133"/>
        <item x="80"/>
        <item x="202"/>
        <item x="183"/>
        <item x="52"/>
        <item x="85"/>
        <item x="98"/>
        <item x="1"/>
        <item x="138"/>
        <item x="69"/>
        <item x="238"/>
        <item x="245"/>
        <item x="59"/>
        <item x="220"/>
        <item x="135"/>
        <item m="1" x="250"/>
        <item x="70"/>
        <item x="110"/>
        <item x="32"/>
        <item x="246"/>
        <item x="122"/>
        <item x="87"/>
        <item x="225"/>
        <item x="121"/>
        <item x="8"/>
        <item x="134"/>
        <item x="233"/>
        <item x="151"/>
        <item x="101"/>
        <item x="86"/>
        <item x="126"/>
        <item x="144"/>
        <item x="249"/>
        <item t="default"/>
      </items>
    </pivotField>
    <pivotField numFmtId="10" showAll="0"/>
    <pivotField showAll="0"/>
    <pivotField showAll="0"/>
    <pivotField showAll="0"/>
    <pivotField showAll="0">
      <items count="6">
        <item x="0"/>
        <item x="1"/>
        <item x="3"/>
        <item x="2"/>
        <item x="4"/>
        <item t="default"/>
      </items>
    </pivotField>
  </pivotFields>
  <rowFields count="1">
    <field x="19"/>
  </rowFields>
  <rowItems count="2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4"/>
    </i>
    <i>
      <x v="235"/>
    </i>
    <i>
      <x v="236"/>
    </i>
    <i>
      <x v="237"/>
    </i>
    <i>
      <x v="238"/>
    </i>
    <i>
      <x v="239"/>
    </i>
    <i>
      <x v="240"/>
    </i>
    <i>
      <x v="241"/>
    </i>
    <i>
      <x v="242"/>
    </i>
    <i>
      <x v="243"/>
    </i>
    <i>
      <x v="244"/>
    </i>
    <i>
      <x v="245"/>
    </i>
    <i>
      <x v="246"/>
    </i>
    <i>
      <x v="247"/>
    </i>
    <i>
      <x v="248"/>
    </i>
    <i>
      <x v="249"/>
    </i>
    <i>
      <x v="250"/>
    </i>
    <i t="grand">
      <x/>
    </i>
  </rowItems>
  <colItems count="1">
    <i/>
  </colItems>
  <dataFields count="1">
    <dataField name="Sum of Cost Amount" fld="18"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1FD801-7F0F-45C9-B4D4-4433C7681F98}" name="PivotTable2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J22:AK28"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165" showAll="0"/>
    <pivotField numFmtId="9" showAll="0"/>
    <pivotField numFmtId="165" showAll="0"/>
    <pivotField numFmtId="165" showAll="0"/>
    <pivotField numFmtId="165" showAll="0"/>
    <pivotField numFmtId="10" showAll="0"/>
    <pivotField showAll="0">
      <items count="7">
        <item x="0"/>
        <item x="3"/>
        <item x="2"/>
        <item x="4"/>
        <item x="1"/>
        <item x="5"/>
        <item t="default"/>
      </items>
    </pivotField>
    <pivotField showAll="0"/>
    <pivotField showAll="0"/>
    <pivotField axis="axisRow" showAll="0">
      <items count="6">
        <item x="0"/>
        <item x="1"/>
        <item x="3"/>
        <item x="2"/>
        <item x="4"/>
        <item t="default"/>
      </items>
    </pivotField>
  </pivotFields>
  <rowFields count="1">
    <field x="24"/>
  </rowFields>
  <rowItems count="6">
    <i>
      <x/>
    </i>
    <i>
      <x v="1"/>
    </i>
    <i>
      <x v="2"/>
    </i>
    <i>
      <x v="3"/>
    </i>
    <i>
      <x v="4"/>
    </i>
    <i t="grand">
      <x/>
    </i>
  </rowItems>
  <colItems count="1">
    <i/>
  </colItems>
  <dataFields count="1">
    <dataField name="Count of Product" fld="13"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186DFE-39D0-4884-8A24-1798E5A6CA02}" name="PivotTable21"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H43:AH44"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9" showAll="0"/>
    <pivotField numFmtId="165" showAll="0"/>
    <pivotField dataField="1" numFmtId="165" showAll="0"/>
    <pivotField numFmtId="165" showAll="0"/>
    <pivotField numFmtId="10" showAll="0"/>
    <pivotField showAll="0"/>
    <pivotField showAll="0"/>
    <pivotField showAll="0"/>
    <pivotField showAll="0">
      <items count="6">
        <item x="0"/>
        <item x="1"/>
        <item x="3"/>
        <item x="2"/>
        <item x="4"/>
        <item t="default"/>
      </items>
    </pivotField>
  </pivotFields>
  <rowItems count="1">
    <i/>
  </rowItems>
  <colItems count="1">
    <i/>
  </colItems>
  <dataFields count="1">
    <dataField name="Sum of Cost Amount" fld="18" baseField="0" baseItem="0" numFmtId="165"/>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FC6C6B-4D9F-4653-800A-B3EEB7F595C9}"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E13:AG18" firstHeaderRow="0" firstDataRow="1" firstDataCol="1"/>
  <pivotFields count="25">
    <pivotField showAll="0"/>
    <pivotField showAll="0"/>
    <pivotField showAll="0"/>
    <pivotField showAll="0">
      <items count="5">
        <item x="0"/>
        <item x="3"/>
        <item x="2"/>
        <item x="1"/>
        <item t="default"/>
      </items>
    </pivotField>
    <pivotField showAll="0"/>
    <pivotField axis="axisRow" showAll="0">
      <items count="5">
        <item sd="0" x="0"/>
        <item sd="0" x="1"/>
        <item sd="0" x="3"/>
        <item sd="0" x="2"/>
        <item t="default"/>
      </items>
    </pivotField>
    <pivotField axis="axisRow" showAll="0">
      <items count="15">
        <item sd="0" x="11"/>
        <item sd="0" x="3"/>
        <item x="8"/>
        <item x="10"/>
        <item sd="0" x="7"/>
        <item sd="0" x="12"/>
        <item x="4"/>
        <item sd="0" x="0"/>
        <item sd="0" x="6"/>
        <item sd="0" x="1"/>
        <item sd="0" x="13"/>
        <item sd="0" x="5"/>
        <item sd="0" x="9"/>
        <item sd="0" x="2"/>
        <item t="default"/>
      </items>
    </pivotField>
    <pivotField showAll="0"/>
    <pivotField showAll="0"/>
    <pivotField showAll="0"/>
    <pivotField showAll="0"/>
    <pivotField showAll="0">
      <items count="5">
        <item x="0"/>
        <item x="1"/>
        <item x="2"/>
        <item x="3"/>
        <item t="default"/>
      </items>
    </pivotField>
    <pivotField showAll="0"/>
    <pivotField showAll="0">
      <items count="19">
        <item x="16"/>
        <item x="17"/>
        <item x="13"/>
        <item x="11"/>
        <item x="4"/>
        <item x="10"/>
        <item x="2"/>
        <item x="9"/>
        <item x="1"/>
        <item x="8"/>
        <item x="7"/>
        <item x="5"/>
        <item x="6"/>
        <item x="12"/>
        <item x="14"/>
        <item x="3"/>
        <item x="0"/>
        <item x="15"/>
        <item t="default"/>
      </items>
    </pivotField>
    <pivotField showAll="0"/>
    <pivotField numFmtId="165" showAll="0"/>
    <pivotField numFmtId="9" showAll="0"/>
    <pivotField dataField="1" numFmtId="165" showAll="0">
      <items count="250">
        <item x="169"/>
        <item x="111"/>
        <item x="21"/>
        <item x="207"/>
        <item x="73"/>
        <item x="240"/>
        <item x="48"/>
        <item x="117"/>
        <item x="41"/>
        <item x="7"/>
        <item x="161"/>
        <item x="55"/>
        <item x="206"/>
        <item x="194"/>
        <item x="114"/>
        <item x="145"/>
        <item x="66"/>
        <item x="142"/>
        <item x="78"/>
        <item x="139"/>
        <item x="200"/>
        <item x="5"/>
        <item x="130"/>
        <item x="40"/>
        <item x="128"/>
        <item x="106"/>
        <item x="119"/>
        <item x="140"/>
        <item x="170"/>
        <item x="146"/>
        <item x="193"/>
        <item x="141"/>
        <item x="203"/>
        <item x="43"/>
        <item x="12"/>
        <item x="72"/>
        <item x="82"/>
        <item x="227"/>
        <item x="104"/>
        <item x="92"/>
        <item x="201"/>
        <item x="74"/>
        <item x="234"/>
        <item x="36"/>
        <item x="51"/>
        <item x="166"/>
        <item x="67"/>
        <item x="243"/>
        <item x="205"/>
        <item x="136"/>
        <item x="216"/>
        <item x="31"/>
        <item x="248"/>
        <item x="165"/>
        <item x="189"/>
        <item x="147"/>
        <item x="25"/>
        <item x="9"/>
        <item x="226"/>
        <item x="17"/>
        <item x="178"/>
        <item x="242"/>
        <item x="223"/>
        <item x="152"/>
        <item x="109"/>
        <item x="44"/>
        <item x="20"/>
        <item x="196"/>
        <item x="76"/>
        <item x="77"/>
        <item x="3"/>
        <item x="182"/>
        <item x="33"/>
        <item x="45"/>
        <item x="71"/>
        <item x="228"/>
        <item x="94"/>
        <item x="171"/>
        <item x="185"/>
        <item x="129"/>
        <item x="42"/>
        <item x="153"/>
        <item x="218"/>
        <item x="46"/>
        <item x="172"/>
        <item x="99"/>
        <item x="81"/>
        <item x="56"/>
        <item x="213"/>
        <item x="79"/>
        <item x="164"/>
        <item x="132"/>
        <item x="224"/>
        <item x="123"/>
        <item x="68"/>
        <item x="204"/>
        <item x="4"/>
        <item x="199"/>
        <item x="236"/>
        <item x="230"/>
        <item x="84"/>
        <item x="156"/>
        <item x="229"/>
        <item x="90"/>
        <item x="112"/>
        <item x="209"/>
        <item x="60"/>
        <item x="26"/>
        <item x="239"/>
        <item x="0"/>
        <item x="65"/>
        <item x="11"/>
        <item x="10"/>
        <item x="50"/>
        <item x="215"/>
        <item x="180"/>
        <item x="155"/>
        <item x="95"/>
        <item x="173"/>
        <item x="131"/>
        <item x="137"/>
        <item x="237"/>
        <item x="38"/>
        <item x="29"/>
        <item x="53"/>
        <item x="39"/>
        <item x="23"/>
        <item x="150"/>
        <item x="175"/>
        <item x="113"/>
        <item x="148"/>
        <item x="19"/>
        <item x="88"/>
        <item x="159"/>
        <item x="83"/>
        <item x="6"/>
        <item x="14"/>
        <item x="212"/>
        <item x="177"/>
        <item x="192"/>
        <item x="163"/>
        <item x="187"/>
        <item x="214"/>
        <item x="158"/>
        <item x="181"/>
        <item x="191"/>
        <item x="24"/>
        <item x="120"/>
        <item x="102"/>
        <item x="37"/>
        <item x="16"/>
        <item x="231"/>
        <item x="222"/>
        <item x="75"/>
        <item x="235"/>
        <item x="97"/>
        <item x="197"/>
        <item x="61"/>
        <item x="100"/>
        <item x="167"/>
        <item x="34"/>
        <item x="198"/>
        <item x="162"/>
        <item x="157"/>
        <item x="13"/>
        <item x="58"/>
        <item x="217"/>
        <item x="124"/>
        <item x="211"/>
        <item x="93"/>
        <item x="127"/>
        <item x="49"/>
        <item x="57"/>
        <item x="154"/>
        <item x="115"/>
        <item x="125"/>
        <item x="179"/>
        <item x="219"/>
        <item x="160"/>
        <item x="168"/>
        <item x="18"/>
        <item x="188"/>
        <item x="241"/>
        <item x="208"/>
        <item x="143"/>
        <item x="195"/>
        <item x="247"/>
        <item x="176"/>
        <item x="35"/>
        <item x="232"/>
        <item x="221"/>
        <item x="28"/>
        <item x="47"/>
        <item x="186"/>
        <item x="27"/>
        <item x="54"/>
        <item x="22"/>
        <item x="244"/>
        <item x="190"/>
        <item x="30"/>
        <item x="103"/>
        <item x="245"/>
        <item x="149"/>
        <item x="118"/>
        <item x="108"/>
        <item x="96"/>
        <item x="91"/>
        <item x="184"/>
        <item x="64"/>
        <item x="63"/>
        <item x="2"/>
        <item x="62"/>
        <item x="15"/>
        <item x="107"/>
        <item x="174"/>
        <item x="80"/>
        <item x="183"/>
        <item x="116"/>
        <item x="133"/>
        <item x="210"/>
        <item x="52"/>
        <item x="202"/>
        <item x="238"/>
        <item x="85"/>
        <item x="89"/>
        <item x="98"/>
        <item x="105"/>
        <item x="135"/>
        <item x="70"/>
        <item x="1"/>
        <item x="138"/>
        <item x="32"/>
        <item x="122"/>
        <item x="69"/>
        <item x="59"/>
        <item x="87"/>
        <item x="220"/>
        <item x="134"/>
        <item x="101"/>
        <item x="233"/>
        <item x="110"/>
        <item x="246"/>
        <item x="86"/>
        <item x="225"/>
        <item x="144"/>
        <item x="121"/>
        <item x="8"/>
        <item x="126"/>
        <item x="151"/>
        <item t="default"/>
      </items>
    </pivotField>
    <pivotField numFmtId="165" showAll="0"/>
    <pivotField numFmtId="165" showAll="0"/>
    <pivotField numFmtId="10" showAll="0"/>
    <pivotField showAll="0">
      <items count="6">
        <item x="0"/>
        <item x="3"/>
        <item x="2"/>
        <item x="4"/>
        <item x="1"/>
        <item t="default"/>
      </items>
    </pivotField>
    <pivotField showAll="0"/>
    <pivotField showAll="0"/>
    <pivotField showAll="0">
      <items count="5">
        <item x="0"/>
        <item x="1"/>
        <item x="3"/>
        <item x="2"/>
        <item t="default"/>
      </items>
    </pivotField>
  </pivotFields>
  <rowFields count="2">
    <field x="5"/>
    <field x="6"/>
  </rowFields>
  <rowItems count="5">
    <i>
      <x/>
    </i>
    <i>
      <x v="1"/>
    </i>
    <i>
      <x v="2"/>
    </i>
    <i>
      <x v="3"/>
    </i>
    <i t="grand">
      <x/>
    </i>
  </rowItems>
  <colFields count="1">
    <field x="-2"/>
  </colFields>
  <colItems count="2">
    <i>
      <x/>
    </i>
    <i i="1">
      <x v="1"/>
    </i>
  </colItems>
  <dataFields count="2">
    <dataField name="Sum of Sales Amount" fld="17" baseField="0" baseItem="0" numFmtId="165"/>
    <dataField name="Sum of Sales Amount2" fld="17" showDataAs="percentOfTotal" baseField="0" baseItem="0" numFmtId="10"/>
  </dataFields>
  <chartFormats count="3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5" count="1" selected="0">
            <x v="0"/>
          </reference>
        </references>
      </pivotArea>
    </chartFormat>
    <chartFormat chart="4" format="14">
      <pivotArea type="data" outline="0" fieldPosition="0">
        <references count="2">
          <reference field="4294967294" count="1" selected="0">
            <x v="0"/>
          </reference>
          <reference field="5" count="1" selected="0">
            <x v="1"/>
          </reference>
        </references>
      </pivotArea>
    </chartFormat>
    <chartFormat chart="4" format="15">
      <pivotArea type="data" outline="0" fieldPosition="0">
        <references count="2">
          <reference field="4294967294" count="1" selected="0">
            <x v="0"/>
          </reference>
          <reference field="5" count="1" selected="0">
            <x v="2"/>
          </reference>
        </references>
      </pivotArea>
    </chartFormat>
    <chartFormat chart="4" format="16">
      <pivotArea type="data" outline="0" fieldPosition="0">
        <references count="2">
          <reference field="4294967294" count="1" selected="0">
            <x v="0"/>
          </reference>
          <reference field="5" count="1" selected="0">
            <x v="3"/>
          </reference>
        </references>
      </pivotArea>
    </chartFormat>
    <chartFormat chart="4" format="17" series="1">
      <pivotArea type="data" outline="0" fieldPosition="0">
        <references count="1">
          <reference field="4294967294" count="1" selected="0">
            <x v="1"/>
          </reference>
        </references>
      </pivotArea>
    </chartFormat>
    <chartFormat chart="4" format="18">
      <pivotArea type="data" outline="0" fieldPosition="0">
        <references count="2">
          <reference field="4294967294" count="1" selected="0">
            <x v="1"/>
          </reference>
          <reference field="5" count="1" selected="0">
            <x v="0"/>
          </reference>
        </references>
      </pivotArea>
    </chartFormat>
    <chartFormat chart="4" format="19">
      <pivotArea type="data" outline="0" fieldPosition="0">
        <references count="2">
          <reference field="4294967294" count="1" selected="0">
            <x v="1"/>
          </reference>
          <reference field="5" count="1" selected="0">
            <x v="1"/>
          </reference>
        </references>
      </pivotArea>
    </chartFormat>
    <chartFormat chart="4" format="20">
      <pivotArea type="data" outline="0" fieldPosition="0">
        <references count="2">
          <reference field="4294967294" count="1" selected="0">
            <x v="1"/>
          </reference>
          <reference field="5" count="1" selected="0">
            <x v="2"/>
          </reference>
        </references>
      </pivotArea>
    </chartFormat>
    <chartFormat chart="4" format="21">
      <pivotArea type="data" outline="0" fieldPosition="0">
        <references count="2">
          <reference field="4294967294" count="1" selected="0">
            <x v="1"/>
          </reference>
          <reference field="5" count="1" selected="0">
            <x v="3"/>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 chart="2" format="6">
      <pivotArea type="data" outline="0" fieldPosition="0">
        <references count="2">
          <reference field="4294967294" count="1" selected="0">
            <x v="1"/>
          </reference>
          <reference field="5" count="1" selected="0">
            <x v="0"/>
          </reference>
        </references>
      </pivotArea>
    </chartFormat>
    <chartFormat chart="2" format="7">
      <pivotArea type="data" outline="0" fieldPosition="0">
        <references count="2">
          <reference field="4294967294" count="1" selected="0">
            <x v="1"/>
          </reference>
          <reference field="5" count="1" selected="0">
            <x v="1"/>
          </reference>
        </references>
      </pivotArea>
    </chartFormat>
    <chartFormat chart="2" format="8">
      <pivotArea type="data" outline="0" fieldPosition="0">
        <references count="2">
          <reference field="4294967294" count="1" selected="0">
            <x v="1"/>
          </reference>
          <reference field="5" count="1" selected="0">
            <x v="2"/>
          </reference>
        </references>
      </pivotArea>
    </chartFormat>
    <chartFormat chart="2" format="9">
      <pivotArea type="data" outline="0" fieldPosition="0">
        <references count="2">
          <reference field="4294967294" count="1" selected="0">
            <x v="1"/>
          </reference>
          <reference field="5"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5" count="1" selected="0">
            <x v="0"/>
          </reference>
        </references>
      </pivotArea>
    </chartFormat>
    <chartFormat chart="6" format="12">
      <pivotArea type="data" outline="0" fieldPosition="0">
        <references count="2">
          <reference field="4294967294" count="1" selected="0">
            <x v="0"/>
          </reference>
          <reference field="5" count="1" selected="0">
            <x v="1"/>
          </reference>
        </references>
      </pivotArea>
    </chartFormat>
    <chartFormat chart="6" format="13">
      <pivotArea type="data" outline="0" fieldPosition="0">
        <references count="2">
          <reference field="4294967294" count="1" selected="0">
            <x v="0"/>
          </reference>
          <reference field="5" count="1" selected="0">
            <x v="2"/>
          </reference>
        </references>
      </pivotArea>
    </chartFormat>
    <chartFormat chart="6" format="14">
      <pivotArea type="data" outline="0" fieldPosition="0">
        <references count="2">
          <reference field="4294967294" count="1" selected="0">
            <x v="0"/>
          </reference>
          <reference field="5" count="1" selected="0">
            <x v="3"/>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5" count="1" selected="0">
            <x v="0"/>
          </reference>
        </references>
      </pivotArea>
    </chartFormat>
    <chartFormat chart="6" format="17">
      <pivotArea type="data" outline="0" fieldPosition="0">
        <references count="2">
          <reference field="4294967294" count="1" selected="0">
            <x v="1"/>
          </reference>
          <reference field="5" count="1" selected="0">
            <x v="1"/>
          </reference>
        </references>
      </pivotArea>
    </chartFormat>
    <chartFormat chart="6" format="18">
      <pivotArea type="data" outline="0" fieldPosition="0">
        <references count="2">
          <reference field="4294967294" count="1" selected="0">
            <x v="1"/>
          </reference>
          <reference field="5" count="1" selected="0">
            <x v="2"/>
          </reference>
        </references>
      </pivotArea>
    </chartFormat>
    <chartFormat chart="6" format="19">
      <pivotArea type="data" outline="0" fieldPosition="0">
        <references count="2">
          <reference field="4294967294" count="1" selected="0">
            <x v="1"/>
          </reference>
          <reference field="5"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54AC970-2585-4AE7-988F-543E81D67530}"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E2:AF7" firstHeaderRow="1" firstDataRow="1" firstDataCol="1"/>
  <pivotFields count="25">
    <pivotField showAll="0"/>
    <pivotField showAll="0"/>
    <pivotField showAll="0"/>
    <pivotField axis="axisRow" showAll="0">
      <items count="5">
        <item x="0"/>
        <item x="3"/>
        <item x="2"/>
        <item x="1"/>
        <item t="default"/>
      </items>
    </pivotField>
    <pivotField showAll="0"/>
    <pivotField showAll="0">
      <items count="5">
        <item x="0"/>
        <item x="1"/>
        <item x="3"/>
        <item x="2"/>
        <item t="default"/>
      </items>
    </pivotField>
    <pivotField showAll="0">
      <items count="15">
        <item x="11"/>
        <item x="3"/>
        <item x="8"/>
        <item x="10"/>
        <item x="7"/>
        <item x="12"/>
        <item x="4"/>
        <item x="0"/>
        <item x="6"/>
        <item x="1"/>
        <item x="13"/>
        <item x="5"/>
        <item x="9"/>
        <item x="2"/>
        <item t="default"/>
      </items>
    </pivotField>
    <pivotField showAll="0"/>
    <pivotField showAll="0"/>
    <pivotField showAll="0"/>
    <pivotField showAll="0"/>
    <pivotField showAll="0">
      <items count="5">
        <item x="0"/>
        <item x="1"/>
        <item x="2"/>
        <item x="3"/>
        <item t="default"/>
      </items>
    </pivotField>
    <pivotField showAll="0"/>
    <pivotField showAll="0">
      <items count="19">
        <item x="16"/>
        <item x="17"/>
        <item x="13"/>
        <item x="11"/>
        <item x="4"/>
        <item x="10"/>
        <item x="2"/>
        <item x="9"/>
        <item x="1"/>
        <item x="8"/>
        <item x="7"/>
        <item x="5"/>
        <item x="6"/>
        <item x="12"/>
        <item x="14"/>
        <item x="3"/>
        <item x="0"/>
        <item x="15"/>
        <item t="default"/>
      </items>
    </pivotField>
    <pivotField showAll="0"/>
    <pivotField numFmtId="165" showAll="0"/>
    <pivotField numFmtId="9" showAll="0"/>
    <pivotField dataField="1" numFmtId="165" showAll="0">
      <items count="250">
        <item x="169"/>
        <item x="111"/>
        <item x="21"/>
        <item x="207"/>
        <item x="73"/>
        <item x="240"/>
        <item x="48"/>
        <item x="117"/>
        <item x="41"/>
        <item x="7"/>
        <item x="161"/>
        <item x="55"/>
        <item x="206"/>
        <item x="194"/>
        <item x="114"/>
        <item x="145"/>
        <item x="66"/>
        <item x="142"/>
        <item x="78"/>
        <item x="139"/>
        <item x="200"/>
        <item x="5"/>
        <item x="130"/>
        <item x="40"/>
        <item x="128"/>
        <item x="106"/>
        <item x="119"/>
        <item x="140"/>
        <item x="170"/>
        <item x="146"/>
        <item x="193"/>
        <item x="141"/>
        <item x="203"/>
        <item x="43"/>
        <item x="12"/>
        <item x="72"/>
        <item x="82"/>
        <item x="227"/>
        <item x="104"/>
        <item x="92"/>
        <item x="201"/>
        <item x="74"/>
        <item x="234"/>
        <item x="36"/>
        <item x="51"/>
        <item x="166"/>
        <item x="67"/>
        <item x="243"/>
        <item x="205"/>
        <item x="136"/>
        <item x="216"/>
        <item x="31"/>
        <item x="248"/>
        <item x="165"/>
        <item x="189"/>
        <item x="147"/>
        <item x="25"/>
        <item x="9"/>
        <item x="226"/>
        <item x="17"/>
        <item x="178"/>
        <item x="242"/>
        <item x="223"/>
        <item x="152"/>
        <item x="109"/>
        <item x="44"/>
        <item x="20"/>
        <item x="196"/>
        <item x="76"/>
        <item x="77"/>
        <item x="3"/>
        <item x="182"/>
        <item x="33"/>
        <item x="45"/>
        <item x="71"/>
        <item x="228"/>
        <item x="94"/>
        <item x="171"/>
        <item x="185"/>
        <item x="129"/>
        <item x="42"/>
        <item x="153"/>
        <item x="218"/>
        <item x="46"/>
        <item x="172"/>
        <item x="99"/>
        <item x="81"/>
        <item x="56"/>
        <item x="213"/>
        <item x="79"/>
        <item x="164"/>
        <item x="132"/>
        <item x="224"/>
        <item x="123"/>
        <item x="68"/>
        <item x="204"/>
        <item x="4"/>
        <item x="199"/>
        <item x="236"/>
        <item x="230"/>
        <item x="84"/>
        <item x="156"/>
        <item x="229"/>
        <item x="90"/>
        <item x="112"/>
        <item x="209"/>
        <item x="60"/>
        <item x="26"/>
        <item x="239"/>
        <item x="0"/>
        <item x="65"/>
        <item x="11"/>
        <item x="10"/>
        <item x="50"/>
        <item x="215"/>
        <item x="180"/>
        <item x="155"/>
        <item x="95"/>
        <item x="173"/>
        <item x="131"/>
        <item x="137"/>
        <item x="237"/>
        <item x="38"/>
        <item x="29"/>
        <item x="53"/>
        <item x="39"/>
        <item x="23"/>
        <item x="150"/>
        <item x="175"/>
        <item x="113"/>
        <item x="148"/>
        <item x="19"/>
        <item x="88"/>
        <item x="159"/>
        <item x="83"/>
        <item x="6"/>
        <item x="14"/>
        <item x="212"/>
        <item x="177"/>
        <item x="192"/>
        <item x="163"/>
        <item x="187"/>
        <item x="214"/>
        <item x="158"/>
        <item x="181"/>
        <item x="191"/>
        <item x="24"/>
        <item x="120"/>
        <item x="102"/>
        <item x="37"/>
        <item x="16"/>
        <item x="231"/>
        <item x="222"/>
        <item x="75"/>
        <item x="235"/>
        <item x="97"/>
        <item x="197"/>
        <item x="61"/>
        <item x="100"/>
        <item x="167"/>
        <item x="34"/>
        <item x="198"/>
        <item x="162"/>
        <item x="157"/>
        <item x="13"/>
        <item x="58"/>
        <item x="217"/>
        <item x="124"/>
        <item x="211"/>
        <item x="93"/>
        <item x="127"/>
        <item x="49"/>
        <item x="57"/>
        <item x="154"/>
        <item x="115"/>
        <item x="125"/>
        <item x="179"/>
        <item x="219"/>
        <item x="160"/>
        <item x="168"/>
        <item x="18"/>
        <item x="188"/>
        <item x="241"/>
        <item x="208"/>
        <item x="143"/>
        <item x="195"/>
        <item x="247"/>
        <item x="176"/>
        <item x="35"/>
        <item x="232"/>
        <item x="221"/>
        <item x="28"/>
        <item x="47"/>
        <item x="186"/>
        <item x="27"/>
        <item x="54"/>
        <item x="22"/>
        <item x="244"/>
        <item x="190"/>
        <item x="30"/>
        <item x="103"/>
        <item x="245"/>
        <item x="149"/>
        <item x="118"/>
        <item x="108"/>
        <item x="96"/>
        <item x="91"/>
        <item x="184"/>
        <item x="64"/>
        <item x="63"/>
        <item x="2"/>
        <item x="62"/>
        <item x="15"/>
        <item x="107"/>
        <item x="174"/>
        <item x="80"/>
        <item x="183"/>
        <item x="116"/>
        <item x="133"/>
        <item x="210"/>
        <item x="52"/>
        <item x="202"/>
        <item x="238"/>
        <item x="85"/>
        <item x="89"/>
        <item x="98"/>
        <item x="105"/>
        <item x="135"/>
        <item x="70"/>
        <item x="1"/>
        <item x="138"/>
        <item x="32"/>
        <item x="122"/>
        <item x="69"/>
        <item x="59"/>
        <item x="87"/>
        <item x="220"/>
        <item x="134"/>
        <item x="101"/>
        <item x="233"/>
        <item x="110"/>
        <item x="246"/>
        <item x="86"/>
        <item x="225"/>
        <item x="144"/>
        <item x="121"/>
        <item x="8"/>
        <item x="126"/>
        <item x="151"/>
        <item t="default"/>
      </items>
    </pivotField>
    <pivotField numFmtId="165" showAll="0"/>
    <pivotField numFmtId="165" showAll="0"/>
    <pivotField numFmtId="10" showAll="0"/>
    <pivotField showAll="0">
      <items count="6">
        <item x="0"/>
        <item x="3"/>
        <item x="2"/>
        <item x="4"/>
        <item x="1"/>
        <item t="default"/>
      </items>
    </pivotField>
    <pivotField showAll="0"/>
    <pivotField showAll="0"/>
    <pivotField showAll="0">
      <items count="5">
        <item x="0"/>
        <item x="1"/>
        <item x="3"/>
        <item x="2"/>
        <item t="default"/>
      </items>
    </pivotField>
  </pivotFields>
  <rowFields count="1">
    <field x="3"/>
  </rowFields>
  <rowItems count="5">
    <i>
      <x/>
    </i>
    <i>
      <x v="1"/>
    </i>
    <i>
      <x v="2"/>
    </i>
    <i>
      <x v="3"/>
    </i>
    <i t="grand">
      <x/>
    </i>
  </rowItems>
  <colItems count="1">
    <i/>
  </colItems>
  <dataFields count="1">
    <dataField name="Sum of Sales Amount" fld="17"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BE1D2FD-523D-437B-8C3A-72839B468AB8}"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G33:AH39"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165" showAll="0"/>
    <pivotField numFmtId="9" showAll="0"/>
    <pivotField numFmtId="165" showAll="0"/>
    <pivotField numFmtId="165" showAll="0"/>
    <pivotField numFmtId="165" showAll="0"/>
    <pivotField numFmtId="10" showAll="0"/>
    <pivotField showAll="0"/>
    <pivotField showAll="0"/>
    <pivotField showAll="0"/>
    <pivotField axis="axisRow" showAll="0">
      <items count="6">
        <item x="0"/>
        <item x="1"/>
        <item x="3"/>
        <item x="2"/>
        <item x="4"/>
        <item t="default"/>
      </items>
    </pivotField>
  </pivotFields>
  <rowFields count="1">
    <field x="24"/>
  </rowFields>
  <rowItems count="6">
    <i>
      <x/>
    </i>
    <i>
      <x v="1"/>
    </i>
    <i>
      <x v="2"/>
    </i>
    <i>
      <x v="3"/>
    </i>
    <i>
      <x v="4"/>
    </i>
    <i t="grand">
      <x/>
    </i>
  </rowItems>
  <colItems count="1">
    <i/>
  </colItems>
  <dataFields count="1">
    <dataField name="Count of Product" fld="13"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61504BC-1E2C-4C24-93DA-B35FB4FB7623}"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33:AE34"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9" showAll="0"/>
    <pivotField numFmtId="165" showAll="0"/>
    <pivotField numFmtId="165" showAll="0"/>
    <pivotField dataField="1" numFmtId="165" showAll="0"/>
    <pivotField numFmtId="10" showAll="0"/>
    <pivotField showAll="0"/>
    <pivotField showAll="0"/>
    <pivotField showAll="0"/>
    <pivotField showAll="0">
      <items count="6">
        <item x="0"/>
        <item x="1"/>
        <item x="3"/>
        <item x="2"/>
        <item x="4"/>
        <item t="default"/>
      </items>
    </pivotField>
  </pivotFields>
  <rowItems count="1">
    <i/>
  </rowItems>
  <colItems count="1">
    <i/>
  </colItems>
  <dataFields count="1">
    <dataField name="Sum of Profit" fld="19" baseField="0" baseItem="0" numFmtId="165"/>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D8ECD9B-EAC4-4383-AED6-294C10FBDD95}" sourceName="Quarter">
  <pivotTables>
    <pivotTable tabId="1" name="PivotTable3"/>
    <pivotTable tabId="1" name="PivotTable16"/>
    <pivotTable tabId="1" name="PivotTable10"/>
    <pivotTable tabId="1" name="PivotTable2"/>
    <pivotTable tabId="1" name="PivotTable17"/>
  </pivotTables>
  <data>
    <tabular pivotCacheId="298967132">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81C45D9-11C1-49F8-A9FD-0692C8D0362F}" sourceName="Region">
  <pivotTables>
    <pivotTable tabId="1" name="PivotTable3"/>
    <pivotTable tabId="1" name="PivotTable16"/>
    <pivotTable tabId="1" name="PivotTable10"/>
    <pivotTable tabId="1" name="PivotTable2"/>
    <pivotTable tabId="1" name="PivotTable17"/>
  </pivotTables>
  <data>
    <tabular pivotCacheId="298967132">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2C8613B-731C-48F8-AD17-47B4EE59984F}" sourceName="Category">
  <pivotTables>
    <pivotTable tabId="1" name="PivotTable3"/>
    <pivotTable tabId="1" name="PivotTable16"/>
    <pivotTable tabId="1" name="PivotTable10"/>
    <pivotTable tabId="1" name="PivotTable2"/>
    <pivotTable tabId="1" name="PivotTable17"/>
  </pivotTables>
  <data>
    <tabular pivotCacheId="298967132">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69C04FF-7DD7-4A47-95EA-D3E18DDF82E0}" sourceName="Payment Mode">
  <pivotTables>
    <pivotTable tabId="1" name="PivotTable3"/>
    <pivotTable tabId="1" name="PivotTable16"/>
    <pivotTable tabId="1" name="PivotTable10"/>
    <pivotTable tabId="1" name="PivotTable2"/>
    <pivotTable tabId="1" name="PivotTable17"/>
  </pivotTables>
  <data>
    <tabular pivotCacheId="298967132">
      <items count="5">
        <i x="0" s="1"/>
        <i x="3" s="1"/>
        <i x="2" s="1"/>
        <i x="4"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461493C3-5887-4A21-80BA-79B95B0E57AC}" sourceName="Order Status">
  <pivotTables>
    <pivotTable tabId="1" name="PivotTable20"/>
    <pivotTable tabId="1" name="PivotTable1"/>
    <pivotTable tabId="1" name="PivotTable21"/>
    <pivotTable tabId="1" name="PivotTable5"/>
    <pivotTable tabId="1" name="PivotTable6"/>
    <pivotTable tabId="1" name="PivotTable7"/>
  </pivotTables>
  <data>
    <tabular pivotCacheId="1144936610">
      <items count="5">
        <i x="0" s="1"/>
        <i x="1" s="1"/>
        <i x="3" s="1"/>
        <i x="2" s="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1" xr10:uid="{99F0B86B-28C2-4C07-9262-23975C742298}" sourceName="Category">
  <pivotTables>
    <pivotTable tabId="2" name="PivotTable32"/>
    <pivotTable tabId="2" name="PivotTable33"/>
    <pivotTable tabId="2" name="PivotTable34"/>
    <pivotTable tabId="2" name="PivotTable36"/>
  </pivotTables>
  <data>
    <tabular pivotCacheId="1264631304">
      <items count="4">
        <i x="0" s="1"/>
        <i x="1"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1" xr10:uid="{BFAA9037-8F80-4351-BCA6-5780BAFF5542}" sourceName="Region">
  <pivotTables>
    <pivotTable tabId="2" name="PivotTable32"/>
    <pivotTable tabId="2" name="PivotTable33"/>
    <pivotTable tabId="2" name="PivotTable34"/>
    <pivotTable tabId="2" name="PivotTable36"/>
  </pivotTables>
  <data>
    <tabular pivotCacheId="1264631304">
      <items count="4">
        <i x="0" s="1"/>
        <i x="1" s="1"/>
        <i x="3"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1" xr10:uid="{BB9D11D1-4AB9-4FA5-B9DB-29230BED2303}" sourceName="Sales Amount">
  <pivotTables>
    <pivotTable tabId="2" name="PivotTable32"/>
    <pivotTable tabId="2" name="PivotTable33"/>
    <pivotTable tabId="2" name="PivotTable34"/>
    <pivotTable tabId="2" name="PivotTable36"/>
  </pivotTables>
  <data>
    <tabular pivotCacheId="1264631304">
      <items count="249">
        <i x="169" s="1"/>
        <i x="111" s="1"/>
        <i x="21" s="1"/>
        <i x="207" s="1"/>
        <i x="73" s="1"/>
        <i x="240" s="1"/>
        <i x="48" s="1"/>
        <i x="117" s="1"/>
        <i x="41" s="1"/>
        <i x="7" s="1"/>
        <i x="161" s="1"/>
        <i x="55" s="1"/>
        <i x="206" s="1"/>
        <i x="194" s="1"/>
        <i x="114" s="1"/>
        <i x="145" s="1"/>
        <i x="66" s="1"/>
        <i x="142" s="1"/>
        <i x="78" s="1"/>
        <i x="139" s="1"/>
        <i x="200" s="1"/>
        <i x="5" s="1"/>
        <i x="130" s="1"/>
        <i x="40" s="1"/>
        <i x="128" s="1"/>
        <i x="106" s="1"/>
        <i x="119" s="1"/>
        <i x="140" s="1"/>
        <i x="170" s="1"/>
        <i x="146" s="1"/>
        <i x="193" s="1"/>
        <i x="141" s="1"/>
        <i x="203" s="1"/>
        <i x="43" s="1"/>
        <i x="12" s="1"/>
        <i x="72" s="1"/>
        <i x="82" s="1"/>
        <i x="227" s="1"/>
        <i x="104" s="1"/>
        <i x="92" s="1"/>
        <i x="201" s="1"/>
        <i x="74" s="1"/>
        <i x="234" s="1"/>
        <i x="36" s="1"/>
        <i x="51" s="1"/>
        <i x="166" s="1"/>
        <i x="67" s="1"/>
        <i x="243" s="1"/>
        <i x="205" s="1"/>
        <i x="136" s="1"/>
        <i x="216" s="1"/>
        <i x="31" s="1"/>
        <i x="248" s="1"/>
        <i x="165" s="1"/>
        <i x="189" s="1"/>
        <i x="147" s="1"/>
        <i x="25" s="1"/>
        <i x="9" s="1"/>
        <i x="226" s="1"/>
        <i x="17" s="1"/>
        <i x="178" s="1"/>
        <i x="242" s="1"/>
        <i x="223" s="1"/>
        <i x="152" s="1"/>
        <i x="109" s="1"/>
        <i x="44" s="1"/>
        <i x="20" s="1"/>
        <i x="196" s="1"/>
        <i x="76" s="1"/>
        <i x="77" s="1"/>
        <i x="3" s="1"/>
        <i x="182" s="1"/>
        <i x="33" s="1"/>
        <i x="45" s="1"/>
        <i x="71" s="1"/>
        <i x="228" s="1"/>
        <i x="94" s="1"/>
        <i x="171" s="1"/>
        <i x="185" s="1"/>
        <i x="129" s="1"/>
        <i x="42" s="1"/>
        <i x="153" s="1"/>
        <i x="218" s="1"/>
        <i x="46" s="1"/>
        <i x="172" s="1"/>
        <i x="99" s="1"/>
        <i x="81" s="1"/>
        <i x="56" s="1"/>
        <i x="213" s="1"/>
        <i x="79" s="1"/>
        <i x="164" s="1"/>
        <i x="132" s="1"/>
        <i x="224" s="1"/>
        <i x="123" s="1"/>
        <i x="68" s="1"/>
        <i x="204" s="1"/>
        <i x="4" s="1"/>
        <i x="199" s="1"/>
        <i x="236" s="1"/>
        <i x="230" s="1"/>
        <i x="84" s="1"/>
        <i x="156" s="1"/>
        <i x="229" s="1"/>
        <i x="90" s="1"/>
        <i x="112" s="1"/>
        <i x="209" s="1"/>
        <i x="60" s="1"/>
        <i x="26" s="1"/>
        <i x="239" s="1"/>
        <i x="0" s="1"/>
        <i x="65" s="1"/>
        <i x="11" s="1"/>
        <i x="10" s="1"/>
        <i x="50" s="1"/>
        <i x="215" s="1"/>
        <i x="180" s="1"/>
        <i x="155" s="1"/>
        <i x="95" s="1"/>
        <i x="173" s="1"/>
        <i x="131" s="1"/>
        <i x="137" s="1"/>
        <i x="237" s="1"/>
        <i x="38" s="1"/>
        <i x="29" s="1"/>
        <i x="53" s="1"/>
        <i x="39" s="1"/>
        <i x="23" s="1"/>
        <i x="150" s="1"/>
        <i x="175" s="1"/>
        <i x="113" s="1"/>
        <i x="148" s="1"/>
        <i x="19" s="1"/>
        <i x="88" s="1"/>
        <i x="159" s="1"/>
        <i x="83" s="1"/>
        <i x="6" s="1"/>
        <i x="14" s="1"/>
        <i x="212" s="1"/>
        <i x="177" s="1"/>
        <i x="192" s="1"/>
        <i x="163" s="1"/>
        <i x="187" s="1"/>
        <i x="214" s="1"/>
        <i x="158" s="1"/>
        <i x="181" s="1"/>
        <i x="191" s="1"/>
        <i x="24" s="1"/>
        <i x="120" s="1"/>
        <i x="102" s="1"/>
        <i x="37" s="1"/>
        <i x="16" s="1"/>
        <i x="231" s="1"/>
        <i x="222" s="1"/>
        <i x="75" s="1"/>
        <i x="235" s="1"/>
        <i x="97" s="1"/>
        <i x="197" s="1"/>
        <i x="61" s="1"/>
        <i x="100" s="1"/>
        <i x="167" s="1"/>
        <i x="34" s="1"/>
        <i x="198" s="1"/>
        <i x="162" s="1"/>
        <i x="157" s="1"/>
        <i x="13" s="1"/>
        <i x="58" s="1"/>
        <i x="217" s="1"/>
        <i x="124" s="1"/>
        <i x="211" s="1"/>
        <i x="93" s="1"/>
        <i x="127" s="1"/>
        <i x="49" s="1"/>
        <i x="57" s="1"/>
        <i x="154" s="1"/>
        <i x="115" s="1"/>
        <i x="125" s="1"/>
        <i x="179" s="1"/>
        <i x="219" s="1"/>
        <i x="160" s="1"/>
        <i x="168" s="1"/>
        <i x="18" s="1"/>
        <i x="188" s="1"/>
        <i x="241" s="1"/>
        <i x="208" s="1"/>
        <i x="143" s="1"/>
        <i x="195" s="1"/>
        <i x="247" s="1"/>
        <i x="176" s="1"/>
        <i x="35" s="1"/>
        <i x="232" s="1"/>
        <i x="221" s="1"/>
        <i x="28" s="1"/>
        <i x="47" s="1"/>
        <i x="186" s="1"/>
        <i x="27" s="1"/>
        <i x="54" s="1"/>
        <i x="22" s="1"/>
        <i x="244" s="1"/>
        <i x="190" s="1"/>
        <i x="30" s="1"/>
        <i x="103" s="1"/>
        <i x="245" s="1"/>
        <i x="149" s="1"/>
        <i x="118" s="1"/>
        <i x="108" s="1"/>
        <i x="96" s="1"/>
        <i x="91" s="1"/>
        <i x="184" s="1"/>
        <i x="64" s="1"/>
        <i x="63" s="1"/>
        <i x="2" s="1"/>
        <i x="62" s="1"/>
        <i x="15" s="1"/>
        <i x="107" s="1"/>
        <i x="174" s="1"/>
        <i x="80" s="1"/>
        <i x="183" s="1"/>
        <i x="116" s="1"/>
        <i x="133" s="1"/>
        <i x="210" s="1"/>
        <i x="52" s="1"/>
        <i x="202" s="1"/>
        <i x="238" s="1"/>
        <i x="85" s="1"/>
        <i x="89" s="1"/>
        <i x="98" s="1"/>
        <i x="105" s="1"/>
        <i x="135" s="1"/>
        <i x="70" s="1"/>
        <i x="1" s="1"/>
        <i x="138" s="1"/>
        <i x="32" s="1"/>
        <i x="122" s="1"/>
        <i x="69" s="1"/>
        <i x="59" s="1"/>
        <i x="87" s="1"/>
        <i x="220" s="1"/>
        <i x="134" s="1"/>
        <i x="101" s="1"/>
        <i x="233" s="1"/>
        <i x="110" s="1"/>
        <i x="246" s="1"/>
        <i x="86" s="1"/>
        <i x="225" s="1"/>
        <i x="144" s="1"/>
        <i x="121" s="1"/>
        <i x="8" s="1"/>
        <i x="126" s="1"/>
        <i x="15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F53D541-E8E7-4D81-8927-C41F71654E6A}" sourceName="Product">
  <pivotTables>
    <pivotTable tabId="2" name="PivotTable32"/>
    <pivotTable tabId="2" name="PivotTable33"/>
    <pivotTable tabId="2" name="PivotTable34"/>
    <pivotTable tabId="2" name="PivotTable36"/>
  </pivotTables>
  <data>
    <tabular pivotCacheId="1264631304">
      <items count="18">
        <i x="16" s="1"/>
        <i x="17" s="1"/>
        <i x="13" s="1"/>
        <i x="11" s="1"/>
        <i x="4" s="1"/>
        <i x="10" s="1"/>
        <i x="2" s="1"/>
        <i x="9" s="1"/>
        <i x="1" s="1"/>
        <i x="8" s="1"/>
        <i x="7" s="1"/>
        <i x="5" s="1"/>
        <i x="6" s="1"/>
        <i x="12" s="1"/>
        <i x="14" s="1"/>
        <i x="3" s="1"/>
        <i x="0" s="1"/>
        <i x="15"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105B9C98-2212-4A6C-A2DE-163F9F21AEE4}" sourceName="Quarter">
  <pivotTables>
    <pivotTable tabId="2" name="PivotTable32"/>
    <pivotTable tabId="2" name="PivotTable33"/>
    <pivotTable tabId="2" name="PivotTable34"/>
    <pivotTable tabId="2" name="PivotTable36"/>
  </pivotTables>
  <data>
    <tabular pivotCacheId="1264631304">
      <items count="4">
        <i x="0" s="1"/>
        <i x="3" s="1"/>
        <i x="2"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9F6047FB-051D-416E-B47A-520B49A10B79}" sourceName="Order Status">
  <pivotTables>
    <pivotTable tabId="2" name="PivotTable35"/>
  </pivotTables>
  <data>
    <tabular pivotCacheId="2098176836">
      <items count="5">
        <i x="0" s="1"/>
        <i x="1" s="1"/>
        <i x="3" s="1"/>
        <i x="2" s="1"/>
        <i x="4"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F78D0DA-AFE3-472D-A660-C838C86D808A}" sourceName="State">
  <data>
    <tabular pivotCacheId="1264631304">
      <items count="14">
        <i x="11" s="1"/>
        <i x="3" s="1"/>
        <i x="8" s="1"/>
        <i x="10" s="1"/>
        <i x="7" s="1"/>
        <i x="12" s="1"/>
        <i x="4" s="1"/>
        <i x="0" s="1"/>
        <i x="6" s="1"/>
        <i x="1" s="1"/>
        <i x="13" s="1"/>
        <i x="5" s="1"/>
        <i x="9"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4AD4CEC6-51BE-4F9B-B9D9-04F857067698}" sourceName="Payment Mode">
  <pivotTables>
    <pivotTable tabId="2" name="PivotTable32"/>
    <pivotTable tabId="2" name="PivotTable33"/>
    <pivotTable tabId="2" name="PivotTable34"/>
    <pivotTable tabId="2" name="PivotTable36"/>
  </pivotTables>
  <data>
    <tabular pivotCacheId="1264631304">
      <items count="5">
        <i x="0" s="1"/>
        <i x="3"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618EA272-1F6B-4920-AC66-91324013E5B9}" cache="Slicer_Category11" caption="Category" startItem="1" rowHeight="288000"/>
  <slicer name="Region 4" xr10:uid="{C5E0D913-B503-437B-9E15-879D9C8CAC65}" cache="Slicer_Region11" caption="Region" startItem="1" rowHeight="288000"/>
  <slicer name="Sales Amount 2" xr10:uid="{1BDF4A5B-7ACB-4185-9809-90B637B9B20C}" cache="Slicer_Sales_Amount1" caption="Sales Amount" startItem="59" rowHeight="241300"/>
  <slicer name="Product 3" xr10:uid="{9DC438D3-5C3C-483D-888C-0BA8763B9228}" cache="Slicer_Product1" caption="Product" rowHeight="241300"/>
  <slicer name="Quarter 1" xr10:uid="{A4A01DBB-E097-4182-8BBD-4CCBBF09D73B}" cache="Slicer_Quarter1" caption="Quarter" startItem="1" rowHeight="288000"/>
  <slicer name="Order Status 1" xr10:uid="{25EBBF38-C9F6-448F-A246-EEE85315A48C}" cache="Slicer_Order_Status1" caption="Order Status" rowHeight="288000"/>
  <slicer name="State 1" xr10:uid="{B05EDCDD-EF30-47A1-A7B6-7D42A71EE5C3}" cache="Slicer_State" caption="State" rowHeight="288000"/>
  <slicer name="Payment Mode 3" xr10:uid="{26F9AA50-DA21-46B0-8F4F-03003429C01F}" cache="Slicer_Payment_Mode1" caption="Payment Mode"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22A05F8D-B2F5-422F-9228-BCF474BC2F7B}" cache="Slicer_Quarter" caption="Quarter" rowHeight="241300"/>
  <slicer name="Region 2" xr10:uid="{538B4566-1470-4DDF-B293-1A2E7BBF2B74}" cache="Slicer_Region1" caption="Region" rowHeight="241300"/>
  <slicer name="Category 2" xr10:uid="{6C637938-29A5-4671-997B-BFAC31C6B574}" cache="Slicer_Category1" caption="Category" rowHeight="241300"/>
  <slicer name="Payment Mode 1" xr10:uid="{14A9A8F6-D10F-4636-B119-9954CFFA80C8}" cache="Slicer_Payment_Mode" caption="Payment Mode" rowHeight="241300"/>
  <slicer name="Order Status" xr10:uid="{4D47431B-2F3C-4C54-A889-BE9586D98A1A}" cache="Slicer_Order_Status" caption="Order Status" rowHeight="241300"/>
</slicers>
</file>

<file path=xl/theme/theme1.xml><?xml version="1.0" encoding="utf-8"?>
<a:theme xmlns:a="http://schemas.openxmlformats.org/drawingml/2006/main" name="Office 2013 - 2022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 dockstate="right" visibility="0" width="350"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747C507-6913-4C52-ADC9-E6F97F508745}">
  <we:reference id="wa200005502" version="1.0.0.11" store="en-US" storeType="omex"/>
  <we:alternateReferences>
    <we:reference id="wa200005502" version="1.0.0.11" store="en-US" storeType="omex"/>
  </we:alternateReferences>
  <we:properties>
    <we:property name="docId" value="&quot;5ygjmBmS--jPdpgAbQDIL&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7E2AD793-AA36-416A-997E-0A53CDA7C335}">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microsoft.com/office/2007/relationships/slicer" Target="../slicers/slicer2.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30A6-F120-41F1-9135-D605FBACFDD8}">
  <dimension ref="B45:H68"/>
  <sheetViews>
    <sheetView tabSelected="1" zoomScaleNormal="100" workbookViewId="0">
      <selection activeCell="A8" sqref="A8"/>
    </sheetView>
  </sheetViews>
  <sheetFormatPr defaultRowHeight="15" x14ac:dyDescent="0.25"/>
  <cols>
    <col min="2" max="2" width="13.140625" bestFit="1" customWidth="1"/>
    <col min="3" max="3" width="16.42578125" bestFit="1" customWidth="1"/>
    <col min="4" max="4" width="16.7109375" bestFit="1" customWidth="1"/>
    <col min="5" max="5" width="17.5703125" bestFit="1" customWidth="1"/>
    <col min="6" max="6" width="20" bestFit="1" customWidth="1"/>
    <col min="7" max="7" width="21" bestFit="1" customWidth="1"/>
    <col min="8" max="8" width="16" bestFit="1" customWidth="1"/>
    <col min="9" max="9" width="13.140625" bestFit="1" customWidth="1"/>
    <col min="10" max="10" width="20" bestFit="1" customWidth="1"/>
    <col min="11" max="11" width="21" bestFit="1" customWidth="1"/>
  </cols>
  <sheetData>
    <row r="45" spans="2:8" x14ac:dyDescent="0.25">
      <c r="B45" t="s">
        <v>25</v>
      </c>
      <c r="C45" t="s">
        <v>161</v>
      </c>
      <c r="D45" t="s">
        <v>162</v>
      </c>
      <c r="E45" t="s">
        <v>163</v>
      </c>
    </row>
    <row r="46" spans="2:8" x14ac:dyDescent="0.25">
      <c r="B46" s="9" t="s">
        <v>37</v>
      </c>
      <c r="C46" s="10">
        <v>174289</v>
      </c>
      <c r="D46">
        <v>409</v>
      </c>
      <c r="E46" s="12">
        <v>4.1868927811539017E-2</v>
      </c>
      <c r="G46" t="s">
        <v>25</v>
      </c>
      <c r="H46" t="s">
        <v>164</v>
      </c>
    </row>
    <row r="47" spans="2:8" x14ac:dyDescent="0.25">
      <c r="B47" s="9" t="s">
        <v>51</v>
      </c>
      <c r="C47" s="10">
        <v>3423661</v>
      </c>
      <c r="D47">
        <v>328</v>
      </c>
      <c r="E47" s="12">
        <v>0.82245589371779904</v>
      </c>
      <c r="G47" s="9" t="s">
        <v>42</v>
      </c>
      <c r="H47">
        <v>127</v>
      </c>
    </row>
    <row r="48" spans="2:8" x14ac:dyDescent="0.25">
      <c r="B48" s="9" t="s">
        <v>75</v>
      </c>
      <c r="C48" s="10">
        <v>552833</v>
      </c>
      <c r="D48">
        <v>99</v>
      </c>
      <c r="E48" s="12">
        <v>0.13280542644020304</v>
      </c>
      <c r="G48" s="9" t="s">
        <v>88</v>
      </c>
      <c r="H48">
        <v>48</v>
      </c>
    </row>
    <row r="49" spans="2:8" x14ac:dyDescent="0.25">
      <c r="B49" s="9" t="s">
        <v>102</v>
      </c>
      <c r="C49" s="10">
        <v>11946</v>
      </c>
      <c r="D49">
        <v>739</v>
      </c>
      <c r="E49" s="12">
        <v>2.8697520304588648E-3</v>
      </c>
      <c r="G49" s="9" t="s">
        <v>123</v>
      </c>
      <c r="H49">
        <v>39</v>
      </c>
    </row>
    <row r="50" spans="2:8" x14ac:dyDescent="0.25">
      <c r="B50" s="9" t="s">
        <v>82</v>
      </c>
      <c r="C50" s="10">
        <v>4162729</v>
      </c>
      <c r="D50">
        <v>1575</v>
      </c>
      <c r="E50" s="12">
        <v>1</v>
      </c>
      <c r="G50" s="9" t="s">
        <v>106</v>
      </c>
      <c r="H50">
        <v>35</v>
      </c>
    </row>
    <row r="51" spans="2:8" x14ac:dyDescent="0.25">
      <c r="G51" s="9" t="s">
        <v>178</v>
      </c>
    </row>
    <row r="52" spans="2:8" x14ac:dyDescent="0.25">
      <c r="B52" t="s">
        <v>25</v>
      </c>
      <c r="C52" t="s">
        <v>26</v>
      </c>
      <c r="G52" s="9" t="s">
        <v>82</v>
      </c>
      <c r="H52">
        <v>249</v>
      </c>
    </row>
    <row r="53" spans="2:8" x14ac:dyDescent="0.25">
      <c r="B53" s="9" t="s">
        <v>188</v>
      </c>
      <c r="C53" s="10">
        <v>1010673.9400000001</v>
      </c>
    </row>
    <row r="54" spans="2:8" x14ac:dyDescent="0.25">
      <c r="B54" s="9" t="s">
        <v>72</v>
      </c>
      <c r="C54" s="10">
        <v>487309.13</v>
      </c>
    </row>
    <row r="55" spans="2:8" x14ac:dyDescent="0.25">
      <c r="B55" s="9" t="s">
        <v>148</v>
      </c>
      <c r="C55" s="10">
        <v>847318.95000000007</v>
      </c>
      <c r="E55" t="s">
        <v>25</v>
      </c>
      <c r="F55" t="s">
        <v>26</v>
      </c>
      <c r="G55" t="s">
        <v>124</v>
      </c>
    </row>
    <row r="56" spans="2:8" x14ac:dyDescent="0.25">
      <c r="B56" s="9" t="s">
        <v>183</v>
      </c>
      <c r="C56" s="10">
        <v>1755826.0000000002</v>
      </c>
      <c r="E56" s="9" t="s">
        <v>31</v>
      </c>
      <c r="F56" s="10">
        <v>3220120.6399999992</v>
      </c>
      <c r="G56" s="12">
        <v>0.24461966071539659</v>
      </c>
    </row>
    <row r="57" spans="2:8" x14ac:dyDescent="0.25">
      <c r="B57" s="9" t="s">
        <v>118</v>
      </c>
      <c r="C57" s="10">
        <v>186397.5</v>
      </c>
      <c r="E57" s="9" t="s">
        <v>45</v>
      </c>
      <c r="F57" s="10">
        <v>3898368.0399999991</v>
      </c>
      <c r="G57" s="12">
        <v>0.29614339768603998</v>
      </c>
    </row>
    <row r="58" spans="2:8" x14ac:dyDescent="0.25">
      <c r="B58" s="9" t="s">
        <v>214</v>
      </c>
      <c r="C58" s="10">
        <v>119709.65999999997</v>
      </c>
      <c r="E58" s="9" t="s">
        <v>99</v>
      </c>
      <c r="F58" s="10">
        <v>2364717.8299999996</v>
      </c>
      <c r="G58" s="12">
        <v>0.17963813717931043</v>
      </c>
    </row>
    <row r="59" spans="2:8" x14ac:dyDescent="0.25">
      <c r="B59" s="9" t="s">
        <v>92</v>
      </c>
      <c r="C59" s="10">
        <v>1077433.6199999999</v>
      </c>
      <c r="E59" s="9" t="s">
        <v>91</v>
      </c>
      <c r="F59" s="10">
        <v>3680578.57</v>
      </c>
      <c r="G59" s="12">
        <v>0.27959880441925294</v>
      </c>
    </row>
    <row r="60" spans="2:8" x14ac:dyDescent="0.25">
      <c r="B60" s="9" t="s">
        <v>32</v>
      </c>
      <c r="C60" s="10">
        <v>1193271.76</v>
      </c>
      <c r="E60" s="9" t="s">
        <v>82</v>
      </c>
      <c r="F60" s="10">
        <v>13163785.079999998</v>
      </c>
      <c r="G60" s="12">
        <v>1</v>
      </c>
    </row>
    <row r="61" spans="2:8" x14ac:dyDescent="0.25">
      <c r="B61" s="9" t="s">
        <v>110</v>
      </c>
      <c r="C61" s="10">
        <v>946500.94000000006</v>
      </c>
    </row>
    <row r="62" spans="2:8" x14ac:dyDescent="0.25">
      <c r="B62" s="9" t="s">
        <v>46</v>
      </c>
      <c r="C62" s="10">
        <v>2217038.6500000004</v>
      </c>
    </row>
    <row r="63" spans="2:8" x14ac:dyDescent="0.25">
      <c r="B63" s="9" t="s">
        <v>252</v>
      </c>
      <c r="C63" s="10">
        <v>769336.50999999978</v>
      </c>
      <c r="E63" t="s">
        <v>25</v>
      </c>
      <c r="F63" t="s">
        <v>26</v>
      </c>
    </row>
    <row r="64" spans="2:8" x14ac:dyDescent="0.25">
      <c r="B64" s="9" t="s">
        <v>100</v>
      </c>
      <c r="C64" s="10">
        <v>1289274.1600000001</v>
      </c>
      <c r="E64" s="9" t="s">
        <v>30</v>
      </c>
      <c r="F64" s="10">
        <v>3604360.0499999993</v>
      </c>
    </row>
    <row r="65" spans="2:6" x14ac:dyDescent="0.25">
      <c r="B65" s="9" t="s">
        <v>167</v>
      </c>
      <c r="C65" s="10">
        <v>247519.31999999998</v>
      </c>
      <c r="E65" s="9" t="s">
        <v>56</v>
      </c>
      <c r="F65" s="10">
        <v>3879623.38</v>
      </c>
    </row>
    <row r="66" spans="2:6" x14ac:dyDescent="0.25">
      <c r="B66" s="9" t="s">
        <v>61</v>
      </c>
      <c r="C66" s="10">
        <v>1016174.9400000002</v>
      </c>
      <c r="E66" s="9" t="s">
        <v>68</v>
      </c>
      <c r="F66" s="10">
        <v>2573506.1700000004</v>
      </c>
    </row>
    <row r="67" spans="2:6" x14ac:dyDescent="0.25">
      <c r="B67" s="9" t="s">
        <v>82</v>
      </c>
      <c r="C67" s="10">
        <v>13163785.080000002</v>
      </c>
      <c r="E67" s="9" t="s">
        <v>60</v>
      </c>
      <c r="F67" s="10">
        <v>3106295.4799999995</v>
      </c>
    </row>
    <row r="68" spans="2:6" x14ac:dyDescent="0.25">
      <c r="E68" s="9" t="s">
        <v>82</v>
      </c>
      <c r="F68" s="10">
        <v>13163785.079999998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26DE1-EF52-400E-9F95-28031632DF5F}">
  <dimension ref="A2:AL508"/>
  <sheetViews>
    <sheetView topLeftCell="AG1" zoomScaleNormal="100" workbookViewId="0">
      <selection activeCell="AC26" sqref="AC26"/>
    </sheetView>
  </sheetViews>
  <sheetFormatPr defaultRowHeight="15" x14ac:dyDescent="0.25"/>
  <cols>
    <col min="1" max="1" width="18.7109375" bestFit="1" customWidth="1"/>
    <col min="2" max="2" width="26" style="18" bestFit="1" customWidth="1"/>
    <col min="3" max="3" width="9.42578125" bestFit="1" customWidth="1"/>
    <col min="4" max="4" width="11.140625" bestFit="1" customWidth="1"/>
    <col min="5" max="5" width="7.5703125" bestFit="1" customWidth="1"/>
    <col min="6" max="6" width="10.42578125" bestFit="1" customWidth="1"/>
    <col min="7" max="7" width="15.28515625" bestFit="1" customWidth="1"/>
    <col min="8" max="8" width="23" bestFit="1" customWidth="1"/>
    <col min="9" max="9" width="19.7109375" bestFit="1" customWidth="1"/>
    <col min="10" max="10" width="25.140625" bestFit="1" customWidth="1"/>
    <col min="11" max="11" width="17" bestFit="1" customWidth="1"/>
    <col min="12" max="12" width="12.85546875" bestFit="1" customWidth="1"/>
    <col min="13" max="13" width="19.28515625" bestFit="1" customWidth="1"/>
    <col min="14" max="14" width="24.140625" bestFit="1" customWidth="1"/>
    <col min="15" max="15" width="14.140625" bestFit="1" customWidth="1"/>
    <col min="16" max="16" width="13.7109375" bestFit="1" customWidth="1"/>
    <col min="17" max="17" width="15.5703125" bestFit="1" customWidth="1"/>
    <col min="18" max="18" width="18.85546875" bestFit="1" customWidth="1"/>
    <col min="19" max="19" width="17.28515625" bestFit="1" customWidth="1"/>
    <col min="20" max="20" width="13.28515625" bestFit="1" customWidth="1"/>
    <col min="21" max="21" width="11.28515625" bestFit="1" customWidth="1"/>
    <col min="22" max="22" width="19.85546875" bestFit="1" customWidth="1"/>
    <col min="23" max="23" width="14.7109375" bestFit="1" customWidth="1"/>
    <col min="24" max="24" width="18.42578125" bestFit="1" customWidth="1"/>
    <col min="25" max="25" width="17.28515625" bestFit="1" customWidth="1"/>
    <col min="28" max="28" width="18.7109375" bestFit="1" customWidth="1"/>
    <col min="29" max="29" width="27.28515625" bestFit="1" customWidth="1"/>
    <col min="31" max="31" width="13.140625" bestFit="1" customWidth="1"/>
    <col min="32" max="32" width="20" bestFit="1" customWidth="1"/>
    <col min="33" max="33" width="16.7109375" bestFit="1" customWidth="1"/>
    <col min="34" max="34" width="17.5703125" bestFit="1" customWidth="1"/>
    <col min="35" max="35" width="19.5703125" bestFit="1" customWidth="1"/>
    <col min="36" max="36" width="18.7109375" bestFit="1" customWidth="1"/>
    <col min="37" max="37" width="22.140625" bestFit="1" customWidth="1"/>
    <col min="38" max="39" width="24.42578125" bestFit="1" customWidth="1"/>
  </cols>
  <sheetData>
    <row r="2" spans="1:36" x14ac:dyDescent="0.25">
      <c r="A2" s="1" t="s">
        <v>0</v>
      </c>
      <c r="B2" s="2"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3"/>
      <c r="AE2" s="19" t="s">
        <v>25</v>
      </c>
      <c r="AF2" t="s">
        <v>26</v>
      </c>
      <c r="AI2" t="s">
        <v>25</v>
      </c>
      <c r="AJ2" t="s">
        <v>26</v>
      </c>
    </row>
    <row r="3" spans="1:36" x14ac:dyDescent="0.25">
      <c r="A3" s="4" t="s">
        <v>27</v>
      </c>
      <c r="B3" s="5" t="s">
        <v>28</v>
      </c>
      <c r="C3" s="4" t="s">
        <v>29</v>
      </c>
      <c r="D3" s="4" t="s">
        <v>30</v>
      </c>
      <c r="E3" s="4">
        <v>2025</v>
      </c>
      <c r="F3" s="4" t="s">
        <v>31</v>
      </c>
      <c r="G3" s="4" t="s">
        <v>32</v>
      </c>
      <c r="H3" s="4" t="s">
        <v>33</v>
      </c>
      <c r="I3" s="4" t="s">
        <v>34</v>
      </c>
      <c r="J3" s="4" t="s">
        <v>35</v>
      </c>
      <c r="K3" s="4" t="s">
        <v>36</v>
      </c>
      <c r="L3" s="4" t="s">
        <v>37</v>
      </c>
      <c r="M3" s="4" t="s">
        <v>38</v>
      </c>
      <c r="N3" s="4" t="s">
        <v>39</v>
      </c>
      <c r="O3" s="4">
        <v>7</v>
      </c>
      <c r="P3" s="6">
        <v>1900</v>
      </c>
      <c r="Q3" s="7">
        <v>0.08</v>
      </c>
      <c r="R3" s="6">
        <v>12236</v>
      </c>
      <c r="S3" s="6">
        <v>6974.52</v>
      </c>
      <c r="T3" s="6">
        <v>5261.48</v>
      </c>
      <c r="U3" s="8">
        <v>0.43</v>
      </c>
      <c r="V3" s="4" t="s">
        <v>40</v>
      </c>
      <c r="W3" s="4" t="s">
        <v>41</v>
      </c>
      <c r="X3" s="4">
        <v>7</v>
      </c>
      <c r="Y3" s="4" t="s">
        <v>42</v>
      </c>
      <c r="AE3" s="9" t="s">
        <v>30</v>
      </c>
      <c r="AF3" s="10">
        <v>3604360.0499999993</v>
      </c>
      <c r="AI3" t="str">
        <f>IF(AE3=0,"",AE3)</f>
        <v>Q1</v>
      </c>
      <c r="AJ3">
        <f>IF(AF3=0,"",AF3)</f>
        <v>3604360.0499999993</v>
      </c>
    </row>
    <row r="4" spans="1:36" x14ac:dyDescent="0.25">
      <c r="A4" s="4" t="s">
        <v>43</v>
      </c>
      <c r="B4" s="5" t="s">
        <v>44</v>
      </c>
      <c r="C4" s="4" t="s">
        <v>29</v>
      </c>
      <c r="D4" s="4" t="s">
        <v>30</v>
      </c>
      <c r="E4" s="4">
        <v>2025</v>
      </c>
      <c r="F4" s="4" t="s">
        <v>45</v>
      </c>
      <c r="G4" s="4" t="s">
        <v>46</v>
      </c>
      <c r="H4" s="4" t="s">
        <v>47</v>
      </c>
      <c r="I4" s="4" t="s">
        <v>48</v>
      </c>
      <c r="J4" s="4" t="s">
        <v>49</v>
      </c>
      <c r="K4" s="4" t="s">
        <v>50</v>
      </c>
      <c r="L4" s="4" t="s">
        <v>51</v>
      </c>
      <c r="M4" s="4" t="s">
        <v>52</v>
      </c>
      <c r="N4" s="4" t="s">
        <v>53</v>
      </c>
      <c r="O4" s="4">
        <v>4</v>
      </c>
      <c r="P4" s="6">
        <v>64510</v>
      </c>
      <c r="Q4" s="7">
        <v>0.1</v>
      </c>
      <c r="R4" s="6">
        <v>232236</v>
      </c>
      <c r="S4" s="6">
        <v>204367.68</v>
      </c>
      <c r="T4" s="6">
        <v>27868.32</v>
      </c>
      <c r="U4" s="8">
        <v>0.12</v>
      </c>
      <c r="V4" s="4" t="s">
        <v>54</v>
      </c>
      <c r="W4" s="4" t="s">
        <v>55</v>
      </c>
      <c r="X4" s="4">
        <v>3</v>
      </c>
      <c r="Y4" s="4" t="s">
        <v>42</v>
      </c>
      <c r="AE4" s="9" t="s">
        <v>56</v>
      </c>
      <c r="AF4" s="10">
        <v>3879623.38</v>
      </c>
      <c r="AI4" t="str">
        <f t="shared" ref="AI4:AJ8" si="0">IF(AE4=0,"",AE4)</f>
        <v>Q2</v>
      </c>
      <c r="AJ4">
        <f t="shared" si="0"/>
        <v>3879623.38</v>
      </c>
    </row>
    <row r="5" spans="1:36" x14ac:dyDescent="0.25">
      <c r="A5" s="4" t="s">
        <v>57</v>
      </c>
      <c r="B5" s="5" t="s">
        <v>58</v>
      </c>
      <c r="C5" s="4" t="s">
        <v>59</v>
      </c>
      <c r="D5" s="4" t="s">
        <v>60</v>
      </c>
      <c r="E5" s="4">
        <v>2025</v>
      </c>
      <c r="F5" s="4" t="s">
        <v>31</v>
      </c>
      <c r="G5" s="4" t="s">
        <v>61</v>
      </c>
      <c r="H5" s="4" t="s">
        <v>62</v>
      </c>
      <c r="I5" s="4" t="s">
        <v>34</v>
      </c>
      <c r="J5" s="4" t="s">
        <v>63</v>
      </c>
      <c r="K5" s="4" t="s">
        <v>64</v>
      </c>
      <c r="L5" s="4" t="s">
        <v>51</v>
      </c>
      <c r="M5" s="4" t="s">
        <v>65</v>
      </c>
      <c r="N5" s="4" t="s">
        <v>66</v>
      </c>
      <c r="O5" s="4">
        <v>2</v>
      </c>
      <c r="P5" s="6">
        <v>59406</v>
      </c>
      <c r="Q5" s="7">
        <v>0.12</v>
      </c>
      <c r="R5" s="6">
        <v>104554.56</v>
      </c>
      <c r="S5" s="6">
        <v>88871.38</v>
      </c>
      <c r="T5" s="6">
        <v>15683.18</v>
      </c>
      <c r="U5" s="8">
        <v>0.15</v>
      </c>
      <c r="V5" s="4" t="s">
        <v>67</v>
      </c>
      <c r="W5" s="4" t="s">
        <v>41</v>
      </c>
      <c r="X5" s="4">
        <v>5</v>
      </c>
      <c r="Y5" s="4" t="s">
        <v>42</v>
      </c>
      <c r="Z5" s="11"/>
      <c r="AE5" s="9" t="s">
        <v>68</v>
      </c>
      <c r="AF5" s="10">
        <v>2573506.1700000004</v>
      </c>
      <c r="AI5" t="str">
        <f t="shared" si="0"/>
        <v>Q3</v>
      </c>
      <c r="AJ5">
        <f t="shared" si="0"/>
        <v>2573506.1700000004</v>
      </c>
    </row>
    <row r="6" spans="1:36" x14ac:dyDescent="0.25">
      <c r="A6" s="4" t="s">
        <v>69</v>
      </c>
      <c r="B6" s="5" t="s">
        <v>70</v>
      </c>
      <c r="C6" s="4" t="s">
        <v>71</v>
      </c>
      <c r="D6" s="4" t="s">
        <v>68</v>
      </c>
      <c r="E6" s="4">
        <v>2025</v>
      </c>
      <c r="F6" s="4" t="s">
        <v>45</v>
      </c>
      <c r="G6" s="4" t="s">
        <v>72</v>
      </c>
      <c r="H6" s="4" t="s">
        <v>73</v>
      </c>
      <c r="I6" s="4" t="s">
        <v>48</v>
      </c>
      <c r="J6" s="4" t="s">
        <v>35</v>
      </c>
      <c r="K6" s="4" t="s">
        <v>74</v>
      </c>
      <c r="L6" s="4" t="s">
        <v>75</v>
      </c>
      <c r="M6" s="4" t="s">
        <v>76</v>
      </c>
      <c r="N6" s="4" t="s">
        <v>77</v>
      </c>
      <c r="O6" s="4">
        <v>1</v>
      </c>
      <c r="P6" s="6">
        <v>6477</v>
      </c>
      <c r="Q6" s="7">
        <v>0</v>
      </c>
      <c r="R6" s="6">
        <v>6477</v>
      </c>
      <c r="S6" s="6">
        <v>4598.67</v>
      </c>
      <c r="T6" s="6">
        <v>1878.33</v>
      </c>
      <c r="U6" s="8">
        <v>0.28999999999999998</v>
      </c>
      <c r="V6" s="4" t="s">
        <v>78</v>
      </c>
      <c r="W6" s="4" t="s">
        <v>55</v>
      </c>
      <c r="X6" s="4">
        <v>3</v>
      </c>
      <c r="Y6" s="4" t="s">
        <v>42</v>
      </c>
      <c r="AE6" s="9" t="s">
        <v>60</v>
      </c>
      <c r="AF6" s="10">
        <v>3106295.4799999995</v>
      </c>
      <c r="AI6" t="str">
        <f t="shared" si="0"/>
        <v>Q4</v>
      </c>
      <c r="AJ6">
        <f t="shared" si="0"/>
        <v>3106295.4799999995</v>
      </c>
    </row>
    <row r="7" spans="1:36" x14ac:dyDescent="0.25">
      <c r="A7" s="4" t="s">
        <v>79</v>
      </c>
      <c r="B7" s="5" t="s">
        <v>58</v>
      </c>
      <c r="C7" s="4" t="s">
        <v>59</v>
      </c>
      <c r="D7" s="4" t="s">
        <v>60</v>
      </c>
      <c r="E7" s="4">
        <v>2025</v>
      </c>
      <c r="F7" s="4" t="s">
        <v>45</v>
      </c>
      <c r="G7" s="4" t="s">
        <v>72</v>
      </c>
      <c r="H7" s="4" t="s">
        <v>73</v>
      </c>
      <c r="I7" s="4" t="s">
        <v>48</v>
      </c>
      <c r="J7" s="4" t="s">
        <v>49</v>
      </c>
      <c r="K7" s="4" t="s">
        <v>64</v>
      </c>
      <c r="L7" s="4" t="s">
        <v>37</v>
      </c>
      <c r="M7" s="4" t="s">
        <v>80</v>
      </c>
      <c r="N7" s="4" t="s">
        <v>81</v>
      </c>
      <c r="O7" s="4">
        <v>5</v>
      </c>
      <c r="P7" s="6">
        <v>2029</v>
      </c>
      <c r="Q7" s="7">
        <v>0.04</v>
      </c>
      <c r="R7" s="6">
        <v>9739.2000000000007</v>
      </c>
      <c r="S7" s="6">
        <v>5648.74</v>
      </c>
      <c r="T7" s="6">
        <v>4090.46</v>
      </c>
      <c r="U7" s="8">
        <v>0.42</v>
      </c>
      <c r="V7" s="4" t="s">
        <v>40</v>
      </c>
      <c r="W7" s="4" t="s">
        <v>41</v>
      </c>
      <c r="X7" s="4">
        <v>6</v>
      </c>
      <c r="Y7" s="4" t="s">
        <v>42</v>
      </c>
      <c r="AE7" s="9" t="s">
        <v>82</v>
      </c>
      <c r="AF7" s="10">
        <v>13163785.079999998</v>
      </c>
      <c r="AI7" t="str">
        <f t="shared" si="0"/>
        <v>Grand Total</v>
      </c>
      <c r="AJ7">
        <f t="shared" si="0"/>
        <v>13163785.079999998</v>
      </c>
    </row>
    <row r="8" spans="1:36" x14ac:dyDescent="0.25">
      <c r="A8" s="4" t="s">
        <v>83</v>
      </c>
      <c r="B8" s="5" t="s">
        <v>84</v>
      </c>
      <c r="C8" s="4" t="s">
        <v>85</v>
      </c>
      <c r="D8" s="4" t="s">
        <v>30</v>
      </c>
      <c r="E8" s="4">
        <v>2025</v>
      </c>
      <c r="F8" s="4" t="s">
        <v>45</v>
      </c>
      <c r="G8" s="4" t="s">
        <v>72</v>
      </c>
      <c r="H8" s="4" t="s">
        <v>73</v>
      </c>
      <c r="I8" s="4" t="s">
        <v>48</v>
      </c>
      <c r="J8" s="4" t="s">
        <v>49</v>
      </c>
      <c r="K8" s="4" t="s">
        <v>86</v>
      </c>
      <c r="L8" s="4" t="s">
        <v>37</v>
      </c>
      <c r="M8" s="4" t="s">
        <v>80</v>
      </c>
      <c r="N8" s="4" t="s">
        <v>81</v>
      </c>
      <c r="O8" s="4">
        <v>2</v>
      </c>
      <c r="P8" s="6">
        <v>1059</v>
      </c>
      <c r="Q8" s="7">
        <v>0.05</v>
      </c>
      <c r="R8" s="6">
        <v>2012.1</v>
      </c>
      <c r="S8" s="6">
        <v>1167.02</v>
      </c>
      <c r="T8" s="6">
        <v>845.08</v>
      </c>
      <c r="U8" s="8">
        <v>0.42</v>
      </c>
      <c r="V8" s="4" t="s">
        <v>54</v>
      </c>
      <c r="W8" s="4" t="s">
        <v>87</v>
      </c>
      <c r="X8" s="4">
        <v>0</v>
      </c>
      <c r="Y8" s="4" t="s">
        <v>88</v>
      </c>
      <c r="Z8" s="11"/>
      <c r="AI8" t="str">
        <f t="shared" si="0"/>
        <v/>
      </c>
      <c r="AJ8" t="str">
        <f t="shared" si="0"/>
        <v/>
      </c>
    </row>
    <row r="9" spans="1:36" x14ac:dyDescent="0.25">
      <c r="A9" s="4" t="s">
        <v>89</v>
      </c>
      <c r="B9" s="5" t="s">
        <v>90</v>
      </c>
      <c r="C9" s="4" t="s">
        <v>59</v>
      </c>
      <c r="D9" s="4" t="s">
        <v>60</v>
      </c>
      <c r="E9" s="4">
        <v>2025</v>
      </c>
      <c r="F9" s="4" t="s">
        <v>91</v>
      </c>
      <c r="G9" s="4" t="s">
        <v>92</v>
      </c>
      <c r="H9" s="4" t="s">
        <v>93</v>
      </c>
      <c r="I9" s="4" t="s">
        <v>94</v>
      </c>
      <c r="J9" s="4" t="s">
        <v>35</v>
      </c>
      <c r="K9" s="4" t="s">
        <v>95</v>
      </c>
      <c r="L9" s="4" t="s">
        <v>37</v>
      </c>
      <c r="M9" s="4" t="s">
        <v>80</v>
      </c>
      <c r="N9" s="4" t="s">
        <v>81</v>
      </c>
      <c r="O9" s="4">
        <v>12</v>
      </c>
      <c r="P9" s="6">
        <v>1594</v>
      </c>
      <c r="Q9" s="7">
        <v>0.13</v>
      </c>
      <c r="R9" s="6">
        <v>16641.36</v>
      </c>
      <c r="S9" s="6">
        <v>9651.99</v>
      </c>
      <c r="T9" s="6">
        <v>6989.37</v>
      </c>
      <c r="U9" s="8">
        <v>0.42</v>
      </c>
      <c r="V9" s="4" t="s">
        <v>40</v>
      </c>
      <c r="W9" s="4" t="s">
        <v>87</v>
      </c>
      <c r="X9" s="4">
        <v>0</v>
      </c>
      <c r="Y9" s="4" t="s">
        <v>88</v>
      </c>
    </row>
    <row r="10" spans="1:36" x14ac:dyDescent="0.25">
      <c r="A10" s="4" t="s">
        <v>96</v>
      </c>
      <c r="B10" s="5" t="s">
        <v>97</v>
      </c>
      <c r="C10" s="4" t="s">
        <v>98</v>
      </c>
      <c r="D10" s="4" t="s">
        <v>56</v>
      </c>
      <c r="E10" s="4">
        <v>2025</v>
      </c>
      <c r="F10" s="4" t="s">
        <v>99</v>
      </c>
      <c r="G10" s="4" t="s">
        <v>100</v>
      </c>
      <c r="H10" s="4" t="s">
        <v>101</v>
      </c>
      <c r="I10" s="4" t="s">
        <v>48</v>
      </c>
      <c r="J10" s="4" t="s">
        <v>35</v>
      </c>
      <c r="K10" s="4" t="s">
        <v>74</v>
      </c>
      <c r="L10" s="4" t="s">
        <v>102</v>
      </c>
      <c r="M10" s="4" t="s">
        <v>103</v>
      </c>
      <c r="N10" s="4" t="s">
        <v>104</v>
      </c>
      <c r="O10" s="4">
        <v>9</v>
      </c>
      <c r="P10" s="6">
        <v>148</v>
      </c>
      <c r="Q10" s="7">
        <v>0.02</v>
      </c>
      <c r="R10" s="6">
        <v>1305.3599999999999</v>
      </c>
      <c r="S10" s="6">
        <v>835.43</v>
      </c>
      <c r="T10" s="6">
        <v>469.93</v>
      </c>
      <c r="U10" s="8">
        <v>0.36</v>
      </c>
      <c r="V10" s="4" t="s">
        <v>105</v>
      </c>
      <c r="W10" s="4" t="s">
        <v>87</v>
      </c>
      <c r="X10" s="4">
        <v>0</v>
      </c>
      <c r="Y10" s="4" t="s">
        <v>106</v>
      </c>
    </row>
    <row r="11" spans="1:36" x14ac:dyDescent="0.25">
      <c r="A11" s="4" t="s">
        <v>107</v>
      </c>
      <c r="B11" s="5" t="s">
        <v>108</v>
      </c>
      <c r="C11" s="4" t="s">
        <v>109</v>
      </c>
      <c r="D11" s="4" t="s">
        <v>60</v>
      </c>
      <c r="E11" s="4">
        <v>2025</v>
      </c>
      <c r="F11" s="4" t="s">
        <v>45</v>
      </c>
      <c r="G11" s="4" t="s">
        <v>110</v>
      </c>
      <c r="H11" s="4" t="s">
        <v>111</v>
      </c>
      <c r="I11" s="4" t="s">
        <v>48</v>
      </c>
      <c r="J11" s="4" t="s">
        <v>63</v>
      </c>
      <c r="K11" s="4" t="s">
        <v>95</v>
      </c>
      <c r="L11" s="4" t="s">
        <v>51</v>
      </c>
      <c r="M11" s="4" t="s">
        <v>52</v>
      </c>
      <c r="N11" s="4" t="s">
        <v>53</v>
      </c>
      <c r="O11" s="4">
        <v>6</v>
      </c>
      <c r="P11" s="6">
        <v>63087</v>
      </c>
      <c r="Q11" s="7">
        <v>0.03</v>
      </c>
      <c r="R11" s="6">
        <v>367166.34</v>
      </c>
      <c r="S11" s="6">
        <v>323106.38</v>
      </c>
      <c r="T11" s="6">
        <v>44059.96</v>
      </c>
      <c r="U11" s="8">
        <v>0.12</v>
      </c>
      <c r="V11" s="4" t="s">
        <v>54</v>
      </c>
      <c r="W11" s="4" t="s">
        <v>41</v>
      </c>
      <c r="X11" s="4">
        <v>4</v>
      </c>
      <c r="Y11" s="4" t="s">
        <v>88</v>
      </c>
    </row>
    <row r="12" spans="1:36" x14ac:dyDescent="0.25">
      <c r="A12" s="4" t="s">
        <v>112</v>
      </c>
      <c r="B12" s="5" t="s">
        <v>108</v>
      </c>
      <c r="C12" s="4" t="s">
        <v>109</v>
      </c>
      <c r="D12" s="4" t="s">
        <v>60</v>
      </c>
      <c r="E12" s="4">
        <v>2025</v>
      </c>
      <c r="F12" s="4" t="s">
        <v>31</v>
      </c>
      <c r="G12" s="4" t="s">
        <v>61</v>
      </c>
      <c r="H12" s="4" t="s">
        <v>62</v>
      </c>
      <c r="I12" s="4" t="s">
        <v>34</v>
      </c>
      <c r="J12" s="4" t="s">
        <v>35</v>
      </c>
      <c r="K12" s="4" t="s">
        <v>95</v>
      </c>
      <c r="L12" s="4" t="s">
        <v>102</v>
      </c>
      <c r="M12" s="4" t="s">
        <v>113</v>
      </c>
      <c r="N12" s="4" t="s">
        <v>114</v>
      </c>
      <c r="O12" s="4">
        <v>27</v>
      </c>
      <c r="P12" s="6">
        <v>239</v>
      </c>
      <c r="Q12" s="7">
        <v>0.18</v>
      </c>
      <c r="R12" s="6">
        <v>5291.46</v>
      </c>
      <c r="S12" s="6">
        <v>3492.36</v>
      </c>
      <c r="T12" s="6">
        <v>1799.1</v>
      </c>
      <c r="U12" s="8">
        <v>0.34</v>
      </c>
      <c r="V12" s="4" t="s">
        <v>40</v>
      </c>
      <c r="W12" s="4" t="s">
        <v>41</v>
      </c>
      <c r="X12" s="4">
        <v>6</v>
      </c>
      <c r="Y12" s="4" t="s">
        <v>42</v>
      </c>
    </row>
    <row r="13" spans="1:36" x14ac:dyDescent="0.25">
      <c r="A13" s="4" t="s">
        <v>115</v>
      </c>
      <c r="B13" s="5" t="s">
        <v>116</v>
      </c>
      <c r="C13" s="4" t="s">
        <v>117</v>
      </c>
      <c r="D13" s="4" t="s">
        <v>56</v>
      </c>
      <c r="E13" s="4">
        <v>2025</v>
      </c>
      <c r="F13" s="4" t="s">
        <v>99</v>
      </c>
      <c r="G13" s="4" t="s">
        <v>118</v>
      </c>
      <c r="H13" s="4" t="s">
        <v>119</v>
      </c>
      <c r="I13" s="4" t="s">
        <v>34</v>
      </c>
      <c r="J13" s="4" t="s">
        <v>49</v>
      </c>
      <c r="K13" s="4" t="s">
        <v>120</v>
      </c>
      <c r="L13" s="4" t="s">
        <v>75</v>
      </c>
      <c r="M13" s="4" t="s">
        <v>121</v>
      </c>
      <c r="N13" s="4" t="s">
        <v>122</v>
      </c>
      <c r="O13" s="4">
        <v>2</v>
      </c>
      <c r="P13" s="6">
        <v>7251</v>
      </c>
      <c r="Q13" s="7">
        <v>0.08</v>
      </c>
      <c r="R13" s="6">
        <v>13341.84</v>
      </c>
      <c r="S13" s="6">
        <v>9606.1200000000008</v>
      </c>
      <c r="T13" s="6">
        <v>3735.72</v>
      </c>
      <c r="U13" s="8">
        <v>0.28000000000000003</v>
      </c>
      <c r="V13" s="4" t="s">
        <v>40</v>
      </c>
      <c r="W13" s="4" t="s">
        <v>87</v>
      </c>
      <c r="X13" s="4">
        <v>0</v>
      </c>
      <c r="Y13" s="4" t="s">
        <v>123</v>
      </c>
      <c r="AE13" s="19" t="s">
        <v>25</v>
      </c>
      <c r="AF13" t="s">
        <v>26</v>
      </c>
      <c r="AG13" t="s">
        <v>124</v>
      </c>
    </row>
    <row r="14" spans="1:36" x14ac:dyDescent="0.25">
      <c r="A14" s="4" t="s">
        <v>125</v>
      </c>
      <c r="B14" s="5" t="s">
        <v>126</v>
      </c>
      <c r="C14" s="4" t="s">
        <v>29</v>
      </c>
      <c r="D14" s="4" t="s">
        <v>30</v>
      </c>
      <c r="E14" s="4">
        <v>2025</v>
      </c>
      <c r="F14" s="4" t="s">
        <v>31</v>
      </c>
      <c r="G14" s="4" t="s">
        <v>32</v>
      </c>
      <c r="H14" s="4" t="s">
        <v>127</v>
      </c>
      <c r="I14" s="4" t="s">
        <v>94</v>
      </c>
      <c r="J14" s="4" t="s">
        <v>35</v>
      </c>
      <c r="K14" s="4" t="s">
        <v>36</v>
      </c>
      <c r="L14" s="4" t="s">
        <v>51</v>
      </c>
      <c r="M14" s="4" t="s">
        <v>128</v>
      </c>
      <c r="N14" s="4" t="s">
        <v>129</v>
      </c>
      <c r="O14" s="4">
        <v>6</v>
      </c>
      <c r="P14" s="6">
        <v>2301</v>
      </c>
      <c r="Q14" s="7">
        <v>0.06</v>
      </c>
      <c r="R14" s="6">
        <v>12977.64</v>
      </c>
      <c r="S14" s="6">
        <v>9084.35</v>
      </c>
      <c r="T14" s="6">
        <v>3893.29</v>
      </c>
      <c r="U14" s="8">
        <v>0.3</v>
      </c>
      <c r="V14" s="4" t="s">
        <v>67</v>
      </c>
      <c r="W14" s="4" t="s">
        <v>87</v>
      </c>
      <c r="X14" s="4">
        <v>0</v>
      </c>
      <c r="Y14" s="4" t="s">
        <v>42</v>
      </c>
      <c r="AE14" s="9" t="s">
        <v>31</v>
      </c>
      <c r="AF14" s="10">
        <v>3220120.6399999992</v>
      </c>
      <c r="AG14" s="12">
        <v>0.24461966071539659</v>
      </c>
    </row>
    <row r="15" spans="1:36" x14ac:dyDescent="0.25">
      <c r="A15" s="4" t="s">
        <v>130</v>
      </c>
      <c r="B15" s="5" t="s">
        <v>131</v>
      </c>
      <c r="C15" s="4" t="s">
        <v>71</v>
      </c>
      <c r="D15" s="4" t="s">
        <v>68</v>
      </c>
      <c r="E15" s="4">
        <v>2025</v>
      </c>
      <c r="F15" s="4" t="s">
        <v>99</v>
      </c>
      <c r="G15" s="4" t="s">
        <v>100</v>
      </c>
      <c r="H15" s="4" t="s">
        <v>101</v>
      </c>
      <c r="I15" s="4" t="s">
        <v>34</v>
      </c>
      <c r="J15" s="4" t="s">
        <v>35</v>
      </c>
      <c r="K15" s="4" t="s">
        <v>132</v>
      </c>
      <c r="L15" s="4" t="s">
        <v>102</v>
      </c>
      <c r="M15" s="4" t="s">
        <v>113</v>
      </c>
      <c r="N15" s="4" t="s">
        <v>133</v>
      </c>
      <c r="O15" s="4">
        <v>10</v>
      </c>
      <c r="P15" s="6">
        <v>361</v>
      </c>
      <c r="Q15" s="7">
        <v>0.16</v>
      </c>
      <c r="R15" s="6">
        <v>3032.4</v>
      </c>
      <c r="S15" s="6">
        <v>2031.71</v>
      </c>
      <c r="T15" s="6">
        <v>1000.69</v>
      </c>
      <c r="U15" s="8">
        <v>0.33</v>
      </c>
      <c r="V15" s="4" t="s">
        <v>78</v>
      </c>
      <c r="W15" s="4" t="s">
        <v>55</v>
      </c>
      <c r="X15" s="4">
        <v>3</v>
      </c>
      <c r="Y15" s="4" t="s">
        <v>106</v>
      </c>
      <c r="AE15" s="9" t="s">
        <v>45</v>
      </c>
      <c r="AF15" s="10">
        <v>3898368.0399999991</v>
      </c>
      <c r="AG15" s="12">
        <v>0.29614339768603998</v>
      </c>
    </row>
    <row r="16" spans="1:36" x14ac:dyDescent="0.25">
      <c r="A16" s="4" t="s">
        <v>134</v>
      </c>
      <c r="B16" s="5" t="s">
        <v>135</v>
      </c>
      <c r="C16" s="4" t="s">
        <v>136</v>
      </c>
      <c r="D16" s="4" t="s">
        <v>60</v>
      </c>
      <c r="E16" s="4">
        <v>2025</v>
      </c>
      <c r="F16" s="4" t="s">
        <v>99</v>
      </c>
      <c r="G16" s="4" t="s">
        <v>100</v>
      </c>
      <c r="H16" s="4" t="s">
        <v>101</v>
      </c>
      <c r="I16" s="4" t="s">
        <v>94</v>
      </c>
      <c r="J16" s="4" t="s">
        <v>49</v>
      </c>
      <c r="K16" s="4" t="s">
        <v>74</v>
      </c>
      <c r="L16" s="4" t="s">
        <v>75</v>
      </c>
      <c r="M16" s="4" t="s">
        <v>121</v>
      </c>
      <c r="N16" s="4" t="s">
        <v>137</v>
      </c>
      <c r="O16" s="4">
        <v>3</v>
      </c>
      <c r="P16" s="6">
        <v>10256</v>
      </c>
      <c r="Q16" s="7">
        <v>0.1</v>
      </c>
      <c r="R16" s="6">
        <v>27691.200000000001</v>
      </c>
      <c r="S16" s="6">
        <v>20491.490000000002</v>
      </c>
      <c r="T16" s="6">
        <v>7199.71</v>
      </c>
      <c r="U16" s="8">
        <v>0.26</v>
      </c>
      <c r="V16" s="4" t="s">
        <v>40</v>
      </c>
      <c r="W16" s="4" t="s">
        <v>87</v>
      </c>
      <c r="X16" s="4">
        <v>0</v>
      </c>
      <c r="Y16" s="4" t="s">
        <v>42</v>
      </c>
      <c r="AE16" s="9" t="s">
        <v>99</v>
      </c>
      <c r="AF16" s="10">
        <v>2364717.8299999996</v>
      </c>
      <c r="AG16" s="12">
        <v>0.17963813717931043</v>
      </c>
    </row>
    <row r="17" spans="1:37" x14ac:dyDescent="0.25">
      <c r="A17" s="4" t="s">
        <v>138</v>
      </c>
      <c r="B17" s="5" t="s">
        <v>139</v>
      </c>
      <c r="C17" s="4" t="s">
        <v>29</v>
      </c>
      <c r="D17" s="4" t="s">
        <v>30</v>
      </c>
      <c r="E17" s="4">
        <v>2025</v>
      </c>
      <c r="F17" s="4" t="s">
        <v>99</v>
      </c>
      <c r="G17" s="4" t="s">
        <v>100</v>
      </c>
      <c r="H17" s="4" t="s">
        <v>101</v>
      </c>
      <c r="I17" s="4" t="s">
        <v>48</v>
      </c>
      <c r="J17" s="4" t="s">
        <v>35</v>
      </c>
      <c r="K17" s="4" t="s">
        <v>132</v>
      </c>
      <c r="L17" s="4" t="s">
        <v>75</v>
      </c>
      <c r="M17" s="4" t="s">
        <v>76</v>
      </c>
      <c r="N17" s="4" t="s">
        <v>140</v>
      </c>
      <c r="O17" s="4">
        <v>1</v>
      </c>
      <c r="P17" s="6">
        <v>18574</v>
      </c>
      <c r="Q17" s="7">
        <v>0.09</v>
      </c>
      <c r="R17" s="6">
        <v>16902.34</v>
      </c>
      <c r="S17" s="6">
        <v>12845.78</v>
      </c>
      <c r="T17" s="6">
        <v>4056.56</v>
      </c>
      <c r="U17" s="8">
        <v>0.24</v>
      </c>
      <c r="V17" s="4" t="s">
        <v>105</v>
      </c>
      <c r="W17" s="4" t="s">
        <v>55</v>
      </c>
      <c r="X17" s="4">
        <v>1</v>
      </c>
      <c r="Y17" s="4" t="s">
        <v>123</v>
      </c>
      <c r="AE17" s="9" t="s">
        <v>91</v>
      </c>
      <c r="AF17" s="10">
        <v>3680578.57</v>
      </c>
      <c r="AG17" s="12">
        <v>0.27959880441925294</v>
      </c>
    </row>
    <row r="18" spans="1:37" x14ac:dyDescent="0.25">
      <c r="A18" s="4" t="s">
        <v>141</v>
      </c>
      <c r="B18" s="5" t="s">
        <v>142</v>
      </c>
      <c r="C18" s="4" t="s">
        <v>85</v>
      </c>
      <c r="D18" s="4" t="s">
        <v>30</v>
      </c>
      <c r="E18" s="4">
        <v>2025</v>
      </c>
      <c r="F18" s="4" t="s">
        <v>91</v>
      </c>
      <c r="G18" s="4" t="s">
        <v>92</v>
      </c>
      <c r="H18" s="4" t="s">
        <v>143</v>
      </c>
      <c r="I18" s="4" t="s">
        <v>34</v>
      </c>
      <c r="J18" s="4" t="s">
        <v>63</v>
      </c>
      <c r="K18" s="4" t="s">
        <v>144</v>
      </c>
      <c r="L18" s="4" t="s">
        <v>51</v>
      </c>
      <c r="M18" s="4" t="s">
        <v>52</v>
      </c>
      <c r="N18" s="4" t="s">
        <v>145</v>
      </c>
      <c r="O18" s="4">
        <v>6</v>
      </c>
      <c r="P18" s="6">
        <v>22878</v>
      </c>
      <c r="Q18" s="7">
        <v>0.14000000000000001</v>
      </c>
      <c r="R18" s="6">
        <v>118050.48</v>
      </c>
      <c r="S18" s="6">
        <v>96801.39</v>
      </c>
      <c r="T18" s="6">
        <v>21249.09</v>
      </c>
      <c r="U18" s="8">
        <v>0.18</v>
      </c>
      <c r="V18" s="4" t="s">
        <v>40</v>
      </c>
      <c r="W18" s="4" t="s">
        <v>55</v>
      </c>
      <c r="X18" s="4">
        <v>2</v>
      </c>
      <c r="Y18" s="4" t="s">
        <v>106</v>
      </c>
      <c r="AE18" s="9" t="s">
        <v>82</v>
      </c>
      <c r="AF18" s="10">
        <v>13163785.079999998</v>
      </c>
      <c r="AG18" s="12">
        <v>1</v>
      </c>
    </row>
    <row r="19" spans="1:37" x14ac:dyDescent="0.25">
      <c r="A19" s="4" t="s">
        <v>146</v>
      </c>
      <c r="B19" s="5" t="s">
        <v>147</v>
      </c>
      <c r="C19" s="4" t="s">
        <v>85</v>
      </c>
      <c r="D19" s="4" t="s">
        <v>30</v>
      </c>
      <c r="E19" s="4">
        <v>2025</v>
      </c>
      <c r="F19" s="4" t="s">
        <v>91</v>
      </c>
      <c r="G19" s="4" t="s">
        <v>148</v>
      </c>
      <c r="H19" s="4" t="s">
        <v>149</v>
      </c>
      <c r="I19" s="4" t="s">
        <v>48</v>
      </c>
      <c r="J19" s="4" t="s">
        <v>49</v>
      </c>
      <c r="K19" s="4" t="s">
        <v>120</v>
      </c>
      <c r="L19" s="4" t="s">
        <v>37</v>
      </c>
      <c r="M19" s="4" t="s">
        <v>80</v>
      </c>
      <c r="N19" s="4" t="s">
        <v>150</v>
      </c>
      <c r="O19" s="4">
        <v>10</v>
      </c>
      <c r="P19" s="6">
        <v>2109</v>
      </c>
      <c r="Q19" s="7">
        <v>0.01</v>
      </c>
      <c r="R19" s="6">
        <v>20879.099999999999</v>
      </c>
      <c r="S19" s="6">
        <v>12527.46</v>
      </c>
      <c r="T19" s="6">
        <v>8351.64</v>
      </c>
      <c r="U19" s="8">
        <v>0.4</v>
      </c>
      <c r="V19" s="4" t="s">
        <v>54</v>
      </c>
      <c r="W19" s="4" t="s">
        <v>55</v>
      </c>
      <c r="X19" s="4">
        <v>2</v>
      </c>
      <c r="Y19" s="4" t="s">
        <v>42</v>
      </c>
    </row>
    <row r="20" spans="1:37" x14ac:dyDescent="0.25">
      <c r="A20" s="4" t="s">
        <v>151</v>
      </c>
      <c r="B20" s="5" t="s">
        <v>152</v>
      </c>
      <c r="C20" s="4" t="s">
        <v>153</v>
      </c>
      <c r="D20" s="4" t="s">
        <v>68</v>
      </c>
      <c r="E20" s="4">
        <v>2025</v>
      </c>
      <c r="F20" s="4" t="s">
        <v>45</v>
      </c>
      <c r="G20" s="4" t="s">
        <v>72</v>
      </c>
      <c r="H20" s="4" t="s">
        <v>73</v>
      </c>
      <c r="I20" s="4" t="s">
        <v>34</v>
      </c>
      <c r="J20" s="4" t="s">
        <v>35</v>
      </c>
      <c r="K20" s="4" t="s">
        <v>50</v>
      </c>
      <c r="L20" s="4" t="s">
        <v>37</v>
      </c>
      <c r="M20" s="4" t="s">
        <v>38</v>
      </c>
      <c r="N20" s="4" t="s">
        <v>39</v>
      </c>
      <c r="O20" s="4">
        <v>2</v>
      </c>
      <c r="P20" s="6">
        <v>3189</v>
      </c>
      <c r="Q20" s="7">
        <v>0.14000000000000001</v>
      </c>
      <c r="R20" s="6">
        <v>5485.08</v>
      </c>
      <c r="S20" s="6">
        <v>3126.5</v>
      </c>
      <c r="T20" s="6">
        <v>2358.58</v>
      </c>
      <c r="U20" s="8">
        <v>0.43</v>
      </c>
      <c r="V20" s="4" t="s">
        <v>67</v>
      </c>
      <c r="W20" s="4" t="s">
        <v>55</v>
      </c>
      <c r="X20" s="4">
        <v>1</v>
      </c>
      <c r="Y20" s="4" t="s">
        <v>42</v>
      </c>
    </row>
    <row r="21" spans="1:37" x14ac:dyDescent="0.25">
      <c r="A21" s="4" t="s">
        <v>154</v>
      </c>
      <c r="B21" s="5" t="s">
        <v>155</v>
      </c>
      <c r="C21" s="4" t="s">
        <v>98</v>
      </c>
      <c r="D21" s="4" t="s">
        <v>56</v>
      </c>
      <c r="E21" s="4">
        <v>2025</v>
      </c>
      <c r="F21" s="4" t="s">
        <v>31</v>
      </c>
      <c r="G21" s="4" t="s">
        <v>32</v>
      </c>
      <c r="H21" s="4" t="s">
        <v>33</v>
      </c>
      <c r="I21" s="4" t="s">
        <v>34</v>
      </c>
      <c r="J21" s="4" t="s">
        <v>35</v>
      </c>
      <c r="K21" s="4" t="s">
        <v>156</v>
      </c>
      <c r="L21" s="4" t="s">
        <v>75</v>
      </c>
      <c r="M21" s="4" t="s">
        <v>76</v>
      </c>
      <c r="N21" s="4" t="s">
        <v>140</v>
      </c>
      <c r="O21" s="4">
        <v>2</v>
      </c>
      <c r="P21" s="6">
        <v>22990</v>
      </c>
      <c r="Q21" s="7">
        <v>0.09</v>
      </c>
      <c r="R21" s="6">
        <v>41841.800000000003</v>
      </c>
      <c r="S21" s="6">
        <v>31799.77</v>
      </c>
      <c r="T21" s="6">
        <v>10042.030000000001</v>
      </c>
      <c r="U21" s="8">
        <v>0.24</v>
      </c>
      <c r="V21" s="4" t="s">
        <v>40</v>
      </c>
      <c r="W21" s="4" t="s">
        <v>87</v>
      </c>
      <c r="X21" s="4">
        <v>0</v>
      </c>
      <c r="Y21" s="4" t="s">
        <v>42</v>
      </c>
    </row>
    <row r="22" spans="1:37" x14ac:dyDescent="0.25">
      <c r="A22" s="4" t="s">
        <v>157</v>
      </c>
      <c r="B22" s="5" t="s">
        <v>158</v>
      </c>
      <c r="C22" s="4" t="s">
        <v>159</v>
      </c>
      <c r="D22" s="4" t="s">
        <v>56</v>
      </c>
      <c r="E22" s="4">
        <v>2025</v>
      </c>
      <c r="F22" s="4" t="s">
        <v>45</v>
      </c>
      <c r="G22" s="4" t="s">
        <v>110</v>
      </c>
      <c r="H22" s="4" t="s">
        <v>160</v>
      </c>
      <c r="I22" s="4" t="s">
        <v>94</v>
      </c>
      <c r="J22" s="4" t="s">
        <v>35</v>
      </c>
      <c r="K22" s="4" t="s">
        <v>144</v>
      </c>
      <c r="L22" s="4" t="s">
        <v>37</v>
      </c>
      <c r="M22" s="4" t="s">
        <v>80</v>
      </c>
      <c r="N22" s="4" t="s">
        <v>150</v>
      </c>
      <c r="O22" s="4">
        <v>9</v>
      </c>
      <c r="P22" s="6">
        <v>2013</v>
      </c>
      <c r="Q22" s="7">
        <v>0.13</v>
      </c>
      <c r="R22" s="6">
        <v>15761.79</v>
      </c>
      <c r="S22" s="6">
        <v>9457.07</v>
      </c>
      <c r="T22" s="6">
        <v>6304.72</v>
      </c>
      <c r="U22" s="8">
        <v>0.4</v>
      </c>
      <c r="V22" s="4" t="s">
        <v>78</v>
      </c>
      <c r="W22" s="4" t="s">
        <v>55</v>
      </c>
      <c r="X22" s="4">
        <v>2</v>
      </c>
      <c r="Y22" s="4" t="s">
        <v>106</v>
      </c>
      <c r="AE22" s="19" t="s">
        <v>25</v>
      </c>
      <c r="AF22" t="s">
        <v>161</v>
      </c>
      <c r="AG22" t="s">
        <v>162</v>
      </c>
      <c r="AH22" t="s">
        <v>163</v>
      </c>
      <c r="AJ22" t="s">
        <v>25</v>
      </c>
      <c r="AK22" t="s">
        <v>164</v>
      </c>
    </row>
    <row r="23" spans="1:37" x14ac:dyDescent="0.25">
      <c r="A23" s="4" t="s">
        <v>165</v>
      </c>
      <c r="B23" s="5" t="s">
        <v>166</v>
      </c>
      <c r="C23" s="4" t="s">
        <v>59</v>
      </c>
      <c r="D23" s="4" t="s">
        <v>60</v>
      </c>
      <c r="E23" s="4">
        <v>2025</v>
      </c>
      <c r="F23" s="4" t="s">
        <v>45</v>
      </c>
      <c r="G23" s="4" t="s">
        <v>167</v>
      </c>
      <c r="H23" s="4" t="s">
        <v>168</v>
      </c>
      <c r="I23" s="4" t="s">
        <v>48</v>
      </c>
      <c r="J23" s="4" t="s">
        <v>63</v>
      </c>
      <c r="K23" s="4" t="s">
        <v>132</v>
      </c>
      <c r="L23" s="4" t="s">
        <v>75</v>
      </c>
      <c r="M23" s="4" t="s">
        <v>76</v>
      </c>
      <c r="N23" s="4" t="s">
        <v>77</v>
      </c>
      <c r="O23" s="4">
        <v>1</v>
      </c>
      <c r="P23" s="6">
        <v>6658</v>
      </c>
      <c r="Q23" s="7">
        <v>7.0000000000000007E-2</v>
      </c>
      <c r="R23" s="6">
        <v>6191.94</v>
      </c>
      <c r="S23" s="6">
        <v>4396.28</v>
      </c>
      <c r="T23" s="6">
        <v>1795.66</v>
      </c>
      <c r="U23" s="8">
        <v>0.28999999999999998</v>
      </c>
      <c r="V23" s="4" t="s">
        <v>105</v>
      </c>
      <c r="W23" s="4" t="s">
        <v>87</v>
      </c>
      <c r="X23" s="4">
        <v>0</v>
      </c>
      <c r="Y23" s="4" t="s">
        <v>42</v>
      </c>
      <c r="AE23" s="9" t="s">
        <v>37</v>
      </c>
      <c r="AF23" s="10">
        <v>174289</v>
      </c>
      <c r="AG23">
        <v>409</v>
      </c>
      <c r="AH23" s="12">
        <v>4.1868927811539017E-2</v>
      </c>
      <c r="AJ23" s="9" t="s">
        <v>42</v>
      </c>
      <c r="AK23">
        <v>127</v>
      </c>
    </row>
    <row r="24" spans="1:37" x14ac:dyDescent="0.25">
      <c r="A24" s="4" t="s">
        <v>169</v>
      </c>
      <c r="B24" s="5" t="s">
        <v>170</v>
      </c>
      <c r="C24" s="4" t="s">
        <v>159</v>
      </c>
      <c r="D24" s="4" t="s">
        <v>56</v>
      </c>
      <c r="E24" s="4">
        <v>2025</v>
      </c>
      <c r="F24" s="4" t="s">
        <v>45</v>
      </c>
      <c r="G24" s="4" t="s">
        <v>167</v>
      </c>
      <c r="H24" s="4" t="s">
        <v>168</v>
      </c>
      <c r="I24" s="4" t="s">
        <v>48</v>
      </c>
      <c r="J24" s="4" t="s">
        <v>63</v>
      </c>
      <c r="K24" s="4" t="s">
        <v>36</v>
      </c>
      <c r="L24" s="4" t="s">
        <v>102</v>
      </c>
      <c r="M24" s="4" t="s">
        <v>103</v>
      </c>
      <c r="N24" s="4" t="s">
        <v>104</v>
      </c>
      <c r="O24" s="4">
        <v>11</v>
      </c>
      <c r="P24" s="6">
        <v>82</v>
      </c>
      <c r="Q24" s="7">
        <v>0.08</v>
      </c>
      <c r="R24" s="6">
        <v>829.84</v>
      </c>
      <c r="S24" s="6">
        <v>531.1</v>
      </c>
      <c r="T24" s="6">
        <v>298.74</v>
      </c>
      <c r="U24" s="8">
        <v>0.36</v>
      </c>
      <c r="V24" s="4" t="s">
        <v>54</v>
      </c>
      <c r="W24" s="4" t="s">
        <v>55</v>
      </c>
      <c r="X24" s="4">
        <v>2</v>
      </c>
      <c r="Y24" s="4" t="s">
        <v>42</v>
      </c>
      <c r="AE24" s="9" t="s">
        <v>51</v>
      </c>
      <c r="AF24" s="10">
        <v>3423661</v>
      </c>
      <c r="AG24">
        <v>328</v>
      </c>
      <c r="AH24" s="12">
        <v>0.82245589371779904</v>
      </c>
      <c r="AJ24" s="9" t="s">
        <v>88</v>
      </c>
      <c r="AK24">
        <v>48</v>
      </c>
    </row>
    <row r="25" spans="1:37" x14ac:dyDescent="0.25">
      <c r="A25" s="4" t="s">
        <v>171</v>
      </c>
      <c r="B25" s="5" t="s">
        <v>172</v>
      </c>
      <c r="C25" s="4" t="s">
        <v>85</v>
      </c>
      <c r="D25" s="4" t="s">
        <v>30</v>
      </c>
      <c r="E25" s="4">
        <v>2025</v>
      </c>
      <c r="F25" s="4" t="s">
        <v>31</v>
      </c>
      <c r="G25" s="4" t="s">
        <v>32</v>
      </c>
      <c r="H25" s="4" t="s">
        <v>33</v>
      </c>
      <c r="I25" s="4" t="s">
        <v>48</v>
      </c>
      <c r="J25" s="4" t="s">
        <v>35</v>
      </c>
      <c r="K25" s="4" t="s">
        <v>64</v>
      </c>
      <c r="L25" s="4" t="s">
        <v>51</v>
      </c>
      <c r="M25" s="4" t="s">
        <v>52</v>
      </c>
      <c r="N25" s="4" t="s">
        <v>53</v>
      </c>
      <c r="O25" s="4">
        <v>1</v>
      </c>
      <c r="P25" s="6">
        <v>70297</v>
      </c>
      <c r="Q25" s="7">
        <v>7.0000000000000007E-2</v>
      </c>
      <c r="R25" s="6">
        <v>65376.21</v>
      </c>
      <c r="S25" s="6">
        <v>57531.06</v>
      </c>
      <c r="T25" s="6">
        <v>7845.15</v>
      </c>
      <c r="U25" s="8">
        <v>0.12</v>
      </c>
      <c r="V25" s="4" t="s">
        <v>67</v>
      </c>
      <c r="W25" s="4" t="s">
        <v>87</v>
      </c>
      <c r="X25" s="4">
        <v>0</v>
      </c>
      <c r="Y25" s="4" t="s">
        <v>42</v>
      </c>
      <c r="AE25" s="9" t="s">
        <v>75</v>
      </c>
      <c r="AF25" s="10">
        <v>552833</v>
      </c>
      <c r="AG25">
        <v>99</v>
      </c>
      <c r="AH25" s="12">
        <v>0.13280542644020304</v>
      </c>
      <c r="AJ25" s="9" t="s">
        <v>123</v>
      </c>
      <c r="AK25">
        <v>39</v>
      </c>
    </row>
    <row r="26" spans="1:37" x14ac:dyDescent="0.25">
      <c r="A26" s="4" t="s">
        <v>173</v>
      </c>
      <c r="B26" s="5" t="s">
        <v>174</v>
      </c>
      <c r="C26" s="4" t="s">
        <v>136</v>
      </c>
      <c r="D26" s="4" t="s">
        <v>60</v>
      </c>
      <c r="E26" s="4">
        <v>2025</v>
      </c>
      <c r="F26" s="4" t="s">
        <v>31</v>
      </c>
      <c r="G26" s="4" t="s">
        <v>61</v>
      </c>
      <c r="H26" s="4" t="s">
        <v>175</v>
      </c>
      <c r="I26" s="4" t="s">
        <v>94</v>
      </c>
      <c r="J26" s="4" t="s">
        <v>35</v>
      </c>
      <c r="K26" s="4" t="s">
        <v>64</v>
      </c>
      <c r="L26" s="4" t="s">
        <v>37</v>
      </c>
      <c r="M26" s="4" t="s">
        <v>38</v>
      </c>
      <c r="N26" s="4" t="s">
        <v>39</v>
      </c>
      <c r="O26" s="4">
        <v>8</v>
      </c>
      <c r="P26" s="6">
        <v>2005</v>
      </c>
      <c r="Q26" s="7">
        <v>7.0000000000000007E-2</v>
      </c>
      <c r="R26" s="6">
        <v>14917.2</v>
      </c>
      <c r="S26" s="6">
        <v>8502.7999999999993</v>
      </c>
      <c r="T26" s="6">
        <v>6414.4</v>
      </c>
      <c r="U26" s="8">
        <v>0.43</v>
      </c>
      <c r="V26" s="4" t="s">
        <v>78</v>
      </c>
      <c r="W26" s="4" t="s">
        <v>87</v>
      </c>
      <c r="X26" s="4">
        <v>0</v>
      </c>
      <c r="Y26" s="4" t="s">
        <v>106</v>
      </c>
      <c r="AE26" s="9" t="s">
        <v>102</v>
      </c>
      <c r="AF26" s="10">
        <v>11946</v>
      </c>
      <c r="AG26">
        <v>739</v>
      </c>
      <c r="AH26" s="12">
        <v>2.8697520304588648E-3</v>
      </c>
      <c r="AJ26" s="9" t="s">
        <v>106</v>
      </c>
      <c r="AK26">
        <v>35</v>
      </c>
    </row>
    <row r="27" spans="1:37" x14ac:dyDescent="0.25">
      <c r="A27" s="4" t="s">
        <v>176</v>
      </c>
      <c r="B27" s="5" t="s">
        <v>177</v>
      </c>
      <c r="C27" s="4" t="s">
        <v>136</v>
      </c>
      <c r="D27" s="4" t="s">
        <v>60</v>
      </c>
      <c r="E27" s="4">
        <v>2025</v>
      </c>
      <c r="F27" s="4" t="s">
        <v>91</v>
      </c>
      <c r="G27" s="4" t="s">
        <v>148</v>
      </c>
      <c r="H27" s="4" t="s">
        <v>149</v>
      </c>
      <c r="I27" s="4" t="s">
        <v>94</v>
      </c>
      <c r="J27" s="4" t="s">
        <v>35</v>
      </c>
      <c r="K27" s="4" t="s">
        <v>36</v>
      </c>
      <c r="L27" s="4" t="s">
        <v>75</v>
      </c>
      <c r="M27" s="4" t="s">
        <v>76</v>
      </c>
      <c r="N27" s="4" t="s">
        <v>140</v>
      </c>
      <c r="O27" s="4">
        <v>1</v>
      </c>
      <c r="P27" s="6">
        <v>21134</v>
      </c>
      <c r="Q27" s="7">
        <v>0.08</v>
      </c>
      <c r="R27" s="6">
        <v>19443.28</v>
      </c>
      <c r="S27" s="6">
        <v>14776.89</v>
      </c>
      <c r="T27" s="6">
        <v>4666.3900000000003</v>
      </c>
      <c r="U27" s="8">
        <v>0.24</v>
      </c>
      <c r="V27" s="4" t="s">
        <v>54</v>
      </c>
      <c r="W27" s="4" t="s">
        <v>41</v>
      </c>
      <c r="X27" s="4">
        <v>3</v>
      </c>
      <c r="Y27" s="4" t="s">
        <v>123</v>
      </c>
      <c r="AE27" s="9" t="s">
        <v>82</v>
      </c>
      <c r="AF27" s="10">
        <v>4162729</v>
      </c>
      <c r="AG27">
        <v>1575</v>
      </c>
      <c r="AH27" s="12">
        <v>1</v>
      </c>
      <c r="AJ27" s="9" t="s">
        <v>178</v>
      </c>
    </row>
    <row r="28" spans="1:37" x14ac:dyDescent="0.25">
      <c r="A28" s="4" t="s">
        <v>179</v>
      </c>
      <c r="B28" s="5" t="s">
        <v>58</v>
      </c>
      <c r="C28" s="4" t="s">
        <v>59</v>
      </c>
      <c r="D28" s="4" t="s">
        <v>60</v>
      </c>
      <c r="E28" s="4">
        <v>2025</v>
      </c>
      <c r="F28" s="4" t="s">
        <v>91</v>
      </c>
      <c r="G28" s="4" t="s">
        <v>92</v>
      </c>
      <c r="H28" s="4" t="s">
        <v>180</v>
      </c>
      <c r="I28" s="4" t="s">
        <v>34</v>
      </c>
      <c r="J28" s="4" t="s">
        <v>63</v>
      </c>
      <c r="K28" s="4" t="s">
        <v>74</v>
      </c>
      <c r="L28" s="4" t="s">
        <v>75</v>
      </c>
      <c r="M28" s="4" t="s">
        <v>76</v>
      </c>
      <c r="N28" s="4" t="s">
        <v>77</v>
      </c>
      <c r="O28" s="4">
        <v>1</v>
      </c>
      <c r="P28" s="6">
        <v>6196</v>
      </c>
      <c r="Q28" s="7">
        <v>0.15</v>
      </c>
      <c r="R28" s="6">
        <v>5266.6</v>
      </c>
      <c r="S28" s="6">
        <v>3739.29</v>
      </c>
      <c r="T28" s="6">
        <v>1527.31</v>
      </c>
      <c r="U28" s="8">
        <v>0.28999999999999998</v>
      </c>
      <c r="V28" s="4" t="s">
        <v>54</v>
      </c>
      <c r="W28" s="4" t="s">
        <v>41</v>
      </c>
      <c r="X28" s="4">
        <v>3</v>
      </c>
      <c r="Y28" s="4" t="s">
        <v>42</v>
      </c>
      <c r="AJ28" s="9" t="s">
        <v>82</v>
      </c>
      <c r="AK28">
        <v>249</v>
      </c>
    </row>
    <row r="29" spans="1:37" x14ac:dyDescent="0.25">
      <c r="A29" s="4" t="s">
        <v>181</v>
      </c>
      <c r="B29" s="5" t="s">
        <v>182</v>
      </c>
      <c r="C29" s="4" t="s">
        <v>85</v>
      </c>
      <c r="D29" s="4" t="s">
        <v>30</v>
      </c>
      <c r="E29" s="4">
        <v>2025</v>
      </c>
      <c r="F29" s="4" t="s">
        <v>91</v>
      </c>
      <c r="G29" s="4" t="s">
        <v>183</v>
      </c>
      <c r="H29" s="4" t="s">
        <v>184</v>
      </c>
      <c r="I29" s="4" t="s">
        <v>94</v>
      </c>
      <c r="J29" s="4" t="s">
        <v>35</v>
      </c>
      <c r="K29" s="4" t="s">
        <v>144</v>
      </c>
      <c r="L29" s="4" t="s">
        <v>37</v>
      </c>
      <c r="M29" s="4" t="s">
        <v>38</v>
      </c>
      <c r="N29" s="4" t="s">
        <v>185</v>
      </c>
      <c r="O29" s="4">
        <v>2</v>
      </c>
      <c r="P29" s="6">
        <v>7003</v>
      </c>
      <c r="Q29" s="7">
        <v>0.14000000000000001</v>
      </c>
      <c r="R29" s="6">
        <v>12045.16</v>
      </c>
      <c r="S29" s="6">
        <v>7588.45</v>
      </c>
      <c r="T29" s="6">
        <v>4456.71</v>
      </c>
      <c r="U29" s="8">
        <v>0.37</v>
      </c>
      <c r="V29" s="4" t="s">
        <v>78</v>
      </c>
      <c r="W29" s="4" t="s">
        <v>41</v>
      </c>
      <c r="X29" s="4">
        <v>3</v>
      </c>
      <c r="Y29" s="4" t="s">
        <v>88</v>
      </c>
    </row>
    <row r="30" spans="1:37" x14ac:dyDescent="0.25">
      <c r="A30" s="4" t="s">
        <v>186</v>
      </c>
      <c r="B30" s="5" t="s">
        <v>187</v>
      </c>
      <c r="C30" s="4" t="s">
        <v>159</v>
      </c>
      <c r="D30" s="4" t="s">
        <v>56</v>
      </c>
      <c r="E30" s="4">
        <v>2025</v>
      </c>
      <c r="F30" s="4" t="s">
        <v>31</v>
      </c>
      <c r="G30" s="4" t="s">
        <v>188</v>
      </c>
      <c r="H30" s="4" t="s">
        <v>189</v>
      </c>
      <c r="I30" s="4" t="s">
        <v>94</v>
      </c>
      <c r="J30" s="4" t="s">
        <v>63</v>
      </c>
      <c r="K30" s="4" t="s">
        <v>120</v>
      </c>
      <c r="L30" s="4" t="s">
        <v>51</v>
      </c>
      <c r="M30" s="4" t="s">
        <v>52</v>
      </c>
      <c r="N30" s="4" t="s">
        <v>145</v>
      </c>
      <c r="O30" s="4">
        <v>3</v>
      </c>
      <c r="P30" s="6">
        <v>22366</v>
      </c>
      <c r="Q30" s="7">
        <v>7.0000000000000007E-2</v>
      </c>
      <c r="R30" s="6">
        <v>62401.14</v>
      </c>
      <c r="S30" s="6">
        <v>51168.93</v>
      </c>
      <c r="T30" s="6">
        <v>11232.21</v>
      </c>
      <c r="U30" s="8">
        <v>0.18</v>
      </c>
      <c r="V30" s="4" t="s">
        <v>67</v>
      </c>
      <c r="W30" s="4" t="s">
        <v>55</v>
      </c>
      <c r="X30" s="4">
        <v>3</v>
      </c>
      <c r="Y30" s="4" t="s">
        <v>88</v>
      </c>
    </row>
    <row r="31" spans="1:37" x14ac:dyDescent="0.25">
      <c r="A31" s="4" t="s">
        <v>190</v>
      </c>
      <c r="B31" s="5" t="s">
        <v>191</v>
      </c>
      <c r="C31" s="4" t="s">
        <v>192</v>
      </c>
      <c r="D31" s="4" t="s">
        <v>30</v>
      </c>
      <c r="E31" s="4">
        <v>2025</v>
      </c>
      <c r="F31" s="4" t="s">
        <v>91</v>
      </c>
      <c r="G31" s="4" t="s">
        <v>148</v>
      </c>
      <c r="H31" s="4" t="s">
        <v>149</v>
      </c>
      <c r="I31" s="4" t="s">
        <v>94</v>
      </c>
      <c r="J31" s="4" t="s">
        <v>63</v>
      </c>
      <c r="K31" s="4" t="s">
        <v>36</v>
      </c>
      <c r="L31" s="4" t="s">
        <v>51</v>
      </c>
      <c r="M31" s="4" t="s">
        <v>65</v>
      </c>
      <c r="N31" s="4" t="s">
        <v>66</v>
      </c>
      <c r="O31" s="4">
        <v>1</v>
      </c>
      <c r="P31" s="6">
        <v>64519</v>
      </c>
      <c r="Q31" s="7">
        <v>0.12</v>
      </c>
      <c r="R31" s="6">
        <v>56776.72</v>
      </c>
      <c r="S31" s="6">
        <v>48260.21</v>
      </c>
      <c r="T31" s="6">
        <v>8516.51</v>
      </c>
      <c r="U31" s="8">
        <v>0.15</v>
      </c>
      <c r="V31" s="4" t="s">
        <v>78</v>
      </c>
      <c r="W31" s="4" t="s">
        <v>55</v>
      </c>
      <c r="X31" s="4">
        <v>3</v>
      </c>
      <c r="Y31" s="4" t="s">
        <v>42</v>
      </c>
    </row>
    <row r="32" spans="1:37" x14ac:dyDescent="0.25">
      <c r="A32" s="4" t="s">
        <v>193</v>
      </c>
      <c r="B32" s="5" t="s">
        <v>194</v>
      </c>
      <c r="C32" s="4" t="s">
        <v>98</v>
      </c>
      <c r="D32" s="4" t="s">
        <v>56</v>
      </c>
      <c r="E32" s="4">
        <v>2025</v>
      </c>
      <c r="F32" s="4" t="s">
        <v>45</v>
      </c>
      <c r="G32" s="4" t="s">
        <v>110</v>
      </c>
      <c r="H32" s="4" t="s">
        <v>160</v>
      </c>
      <c r="I32" s="4" t="s">
        <v>48</v>
      </c>
      <c r="J32" s="4" t="s">
        <v>63</v>
      </c>
      <c r="K32" s="4" t="s">
        <v>74</v>
      </c>
      <c r="L32" s="4" t="s">
        <v>37</v>
      </c>
      <c r="M32" s="4" t="s">
        <v>38</v>
      </c>
      <c r="N32" s="4" t="s">
        <v>185</v>
      </c>
      <c r="O32" s="4">
        <v>2</v>
      </c>
      <c r="P32" s="6">
        <v>7882</v>
      </c>
      <c r="Q32" s="7">
        <v>0.06</v>
      </c>
      <c r="R32" s="6">
        <v>14818.16</v>
      </c>
      <c r="S32" s="6">
        <v>9335.44</v>
      </c>
      <c r="T32" s="6">
        <v>5482.72</v>
      </c>
      <c r="U32" s="8">
        <v>0.37</v>
      </c>
      <c r="V32" s="4" t="s">
        <v>40</v>
      </c>
      <c r="W32" s="4" t="s">
        <v>87</v>
      </c>
      <c r="X32" s="4">
        <v>0</v>
      </c>
      <c r="Y32" s="4" t="s">
        <v>106</v>
      </c>
      <c r="AE32" s="10">
        <f>AE34</f>
        <v>2365497.69</v>
      </c>
    </row>
    <row r="33" spans="1:38" x14ac:dyDescent="0.25">
      <c r="A33" s="4" t="s">
        <v>195</v>
      </c>
      <c r="B33" s="5" t="s">
        <v>170</v>
      </c>
      <c r="C33" s="4" t="s">
        <v>159</v>
      </c>
      <c r="D33" s="4" t="s">
        <v>56</v>
      </c>
      <c r="E33" s="4">
        <v>2025</v>
      </c>
      <c r="F33" s="4" t="s">
        <v>99</v>
      </c>
      <c r="G33" s="4" t="s">
        <v>118</v>
      </c>
      <c r="H33" s="4" t="s">
        <v>196</v>
      </c>
      <c r="I33" s="4" t="s">
        <v>34</v>
      </c>
      <c r="J33" s="4" t="s">
        <v>63</v>
      </c>
      <c r="K33" s="4" t="s">
        <v>86</v>
      </c>
      <c r="L33" s="4" t="s">
        <v>51</v>
      </c>
      <c r="M33" s="4" t="s">
        <v>52</v>
      </c>
      <c r="N33" s="4" t="s">
        <v>145</v>
      </c>
      <c r="O33" s="4">
        <v>4</v>
      </c>
      <c r="P33" s="6">
        <v>23806</v>
      </c>
      <c r="Q33" s="7">
        <v>0.16</v>
      </c>
      <c r="R33" s="6">
        <v>79988.160000000003</v>
      </c>
      <c r="S33" s="6">
        <v>65590.289999999994</v>
      </c>
      <c r="T33" s="6">
        <v>14397.87</v>
      </c>
      <c r="U33" s="8">
        <v>0.18</v>
      </c>
      <c r="V33" s="4" t="s">
        <v>54</v>
      </c>
      <c r="W33" s="4" t="s">
        <v>87</v>
      </c>
      <c r="X33" s="4">
        <v>0</v>
      </c>
      <c r="Y33" s="4" t="s">
        <v>123</v>
      </c>
      <c r="AE33" s="13" t="s">
        <v>197</v>
      </c>
      <c r="AG33" t="s">
        <v>25</v>
      </c>
      <c r="AH33" t="s">
        <v>164</v>
      </c>
      <c r="AJ33" s="4" t="s">
        <v>25</v>
      </c>
      <c r="AK33" s="4" t="s">
        <v>164</v>
      </c>
      <c r="AL33" s="13"/>
    </row>
    <row r="34" spans="1:38" x14ac:dyDescent="0.25">
      <c r="A34" s="4" t="s">
        <v>198</v>
      </c>
      <c r="B34" s="5" t="s">
        <v>199</v>
      </c>
      <c r="C34" s="4" t="s">
        <v>117</v>
      </c>
      <c r="D34" s="4" t="s">
        <v>56</v>
      </c>
      <c r="E34" s="4">
        <v>2025</v>
      </c>
      <c r="F34" s="4" t="s">
        <v>99</v>
      </c>
      <c r="G34" s="4" t="s">
        <v>100</v>
      </c>
      <c r="H34" s="4" t="s">
        <v>101</v>
      </c>
      <c r="I34" s="4" t="s">
        <v>34</v>
      </c>
      <c r="J34" s="4" t="s">
        <v>63</v>
      </c>
      <c r="K34" s="4" t="s">
        <v>144</v>
      </c>
      <c r="L34" s="4" t="s">
        <v>102</v>
      </c>
      <c r="M34" s="4" t="s">
        <v>113</v>
      </c>
      <c r="N34" s="4" t="s">
        <v>133</v>
      </c>
      <c r="O34" s="4">
        <v>16</v>
      </c>
      <c r="P34" s="6">
        <v>305</v>
      </c>
      <c r="Q34" s="7">
        <v>0.11</v>
      </c>
      <c r="R34" s="6">
        <v>4343.2</v>
      </c>
      <c r="S34" s="6">
        <v>2909.94</v>
      </c>
      <c r="T34" s="6">
        <v>1433.26</v>
      </c>
      <c r="U34" s="8">
        <v>0.33</v>
      </c>
      <c r="V34" s="4" t="s">
        <v>105</v>
      </c>
      <c r="W34" s="4" t="s">
        <v>41</v>
      </c>
      <c r="X34" s="4">
        <v>6</v>
      </c>
      <c r="Y34" s="4" t="s">
        <v>88</v>
      </c>
      <c r="AE34" s="14">
        <v>2365497.69</v>
      </c>
      <c r="AG34" s="9" t="s">
        <v>42</v>
      </c>
      <c r="AH34">
        <v>127</v>
      </c>
      <c r="AJ34" s="4" t="str">
        <f>IF(AG34=0,"",AG34)</f>
        <v>Delivered</v>
      </c>
      <c r="AK34" s="4">
        <f>IF(AH34=0,"",AH34)</f>
        <v>127</v>
      </c>
      <c r="AL34" s="13"/>
    </row>
    <row r="35" spans="1:38" x14ac:dyDescent="0.25">
      <c r="A35" s="4" t="s">
        <v>200</v>
      </c>
      <c r="B35" s="5" t="s">
        <v>201</v>
      </c>
      <c r="C35" s="4" t="s">
        <v>71</v>
      </c>
      <c r="D35" s="4" t="s">
        <v>68</v>
      </c>
      <c r="E35" s="4">
        <v>2025</v>
      </c>
      <c r="F35" s="4" t="s">
        <v>45</v>
      </c>
      <c r="G35" s="4" t="s">
        <v>110</v>
      </c>
      <c r="H35" s="4" t="s">
        <v>160</v>
      </c>
      <c r="I35" s="4" t="s">
        <v>94</v>
      </c>
      <c r="J35" s="4" t="s">
        <v>63</v>
      </c>
      <c r="K35" s="4" t="s">
        <v>74</v>
      </c>
      <c r="L35" s="4" t="s">
        <v>51</v>
      </c>
      <c r="M35" s="4" t="s">
        <v>65</v>
      </c>
      <c r="N35" s="4" t="s">
        <v>66</v>
      </c>
      <c r="O35" s="4">
        <v>5</v>
      </c>
      <c r="P35" s="6">
        <v>56621</v>
      </c>
      <c r="Q35" s="7">
        <v>0.15</v>
      </c>
      <c r="R35" s="6">
        <v>240639.25</v>
      </c>
      <c r="S35" s="6">
        <v>204543.35999999999</v>
      </c>
      <c r="T35" s="6">
        <v>36095.89</v>
      </c>
      <c r="U35" s="8">
        <v>0.15</v>
      </c>
      <c r="V35" s="4" t="s">
        <v>67</v>
      </c>
      <c r="W35" s="4" t="s">
        <v>87</v>
      </c>
      <c r="X35" s="4">
        <v>0</v>
      </c>
      <c r="Y35" s="4" t="s">
        <v>42</v>
      </c>
      <c r="AG35" s="9" t="s">
        <v>88</v>
      </c>
      <c r="AH35">
        <v>48</v>
      </c>
      <c r="AJ35" s="4" t="str">
        <f t="shared" ref="AJ35:AK39" si="1">IF(AG35=0,"",AG35)</f>
        <v>Processing</v>
      </c>
      <c r="AK35" s="4">
        <f t="shared" si="1"/>
        <v>48</v>
      </c>
      <c r="AL35" s="13"/>
    </row>
    <row r="36" spans="1:38" x14ac:dyDescent="0.25">
      <c r="A36" s="4" t="s">
        <v>202</v>
      </c>
      <c r="B36" s="5" t="s">
        <v>203</v>
      </c>
      <c r="C36" s="4" t="s">
        <v>98</v>
      </c>
      <c r="D36" s="4" t="s">
        <v>56</v>
      </c>
      <c r="E36" s="4">
        <v>2025</v>
      </c>
      <c r="F36" s="4" t="s">
        <v>91</v>
      </c>
      <c r="G36" s="4" t="s">
        <v>92</v>
      </c>
      <c r="H36" s="4" t="s">
        <v>180</v>
      </c>
      <c r="I36" s="4" t="s">
        <v>34</v>
      </c>
      <c r="J36" s="4" t="s">
        <v>63</v>
      </c>
      <c r="K36" s="4" t="s">
        <v>132</v>
      </c>
      <c r="L36" s="4" t="s">
        <v>37</v>
      </c>
      <c r="M36" s="4" t="s">
        <v>80</v>
      </c>
      <c r="N36" s="4" t="s">
        <v>150</v>
      </c>
      <c r="O36" s="4">
        <v>5</v>
      </c>
      <c r="P36" s="6">
        <v>1435</v>
      </c>
      <c r="Q36" s="7">
        <v>0.09</v>
      </c>
      <c r="R36" s="6">
        <v>6529.25</v>
      </c>
      <c r="S36" s="6">
        <v>3917.55</v>
      </c>
      <c r="T36" s="6">
        <v>2611.6999999999998</v>
      </c>
      <c r="U36" s="8">
        <v>0.4</v>
      </c>
      <c r="V36" s="4" t="s">
        <v>67</v>
      </c>
      <c r="W36" s="4" t="s">
        <v>41</v>
      </c>
      <c r="X36" s="4">
        <v>3</v>
      </c>
      <c r="Y36" s="4" t="s">
        <v>42</v>
      </c>
      <c r="AG36" s="9" t="s">
        <v>123</v>
      </c>
      <c r="AH36">
        <v>39</v>
      </c>
      <c r="AJ36" s="4" t="str">
        <f t="shared" si="1"/>
        <v>Returned</v>
      </c>
      <c r="AK36" s="4">
        <f t="shared" si="1"/>
        <v>39</v>
      </c>
      <c r="AL36" s="13"/>
    </row>
    <row r="37" spans="1:38" x14ac:dyDescent="0.25">
      <c r="A37" s="4" t="s">
        <v>204</v>
      </c>
      <c r="B37" s="5" t="s">
        <v>205</v>
      </c>
      <c r="C37" s="4" t="s">
        <v>192</v>
      </c>
      <c r="D37" s="4" t="s">
        <v>30</v>
      </c>
      <c r="E37" s="4">
        <v>2025</v>
      </c>
      <c r="F37" s="4" t="s">
        <v>91</v>
      </c>
      <c r="G37" s="4" t="s">
        <v>183</v>
      </c>
      <c r="H37" s="4" t="s">
        <v>206</v>
      </c>
      <c r="I37" s="4" t="s">
        <v>48</v>
      </c>
      <c r="J37" s="4" t="s">
        <v>49</v>
      </c>
      <c r="K37" s="4" t="s">
        <v>64</v>
      </c>
      <c r="L37" s="4" t="s">
        <v>75</v>
      </c>
      <c r="M37" s="4" t="s">
        <v>121</v>
      </c>
      <c r="N37" s="4" t="s">
        <v>137</v>
      </c>
      <c r="O37" s="4">
        <v>2</v>
      </c>
      <c r="P37" s="6">
        <v>14099</v>
      </c>
      <c r="Q37" s="7">
        <v>0.1</v>
      </c>
      <c r="R37" s="6">
        <v>25378.2</v>
      </c>
      <c r="S37" s="6">
        <v>18779.87</v>
      </c>
      <c r="T37" s="6">
        <v>6598.33</v>
      </c>
      <c r="U37" s="8">
        <v>0.26</v>
      </c>
      <c r="V37" s="4" t="s">
        <v>54</v>
      </c>
      <c r="W37" s="4" t="s">
        <v>55</v>
      </c>
      <c r="X37" s="4">
        <v>3</v>
      </c>
      <c r="Y37" s="4" t="s">
        <v>42</v>
      </c>
      <c r="AE37" s="10">
        <f>AE39</f>
        <v>13163785.080000008</v>
      </c>
      <c r="AG37" s="9" t="s">
        <v>106</v>
      </c>
      <c r="AH37">
        <v>35</v>
      </c>
      <c r="AJ37" s="4" t="str">
        <f t="shared" si="1"/>
        <v>Shipped</v>
      </c>
      <c r="AK37" s="4">
        <f t="shared" si="1"/>
        <v>35</v>
      </c>
      <c r="AL37" s="13"/>
    </row>
    <row r="38" spans="1:38" x14ac:dyDescent="0.25">
      <c r="A38" s="4" t="s">
        <v>207</v>
      </c>
      <c r="B38" s="5" t="s">
        <v>208</v>
      </c>
      <c r="C38" s="4" t="s">
        <v>209</v>
      </c>
      <c r="D38" s="4" t="s">
        <v>68</v>
      </c>
      <c r="E38" s="4">
        <v>2025</v>
      </c>
      <c r="F38" s="4" t="s">
        <v>45</v>
      </c>
      <c r="G38" s="4" t="s">
        <v>110</v>
      </c>
      <c r="H38" s="4" t="s">
        <v>160</v>
      </c>
      <c r="I38" s="4" t="s">
        <v>34</v>
      </c>
      <c r="J38" s="4" t="s">
        <v>63</v>
      </c>
      <c r="K38" s="4" t="s">
        <v>120</v>
      </c>
      <c r="L38" s="4" t="s">
        <v>51</v>
      </c>
      <c r="M38" s="4" t="s">
        <v>52</v>
      </c>
      <c r="N38" s="4" t="s">
        <v>145</v>
      </c>
      <c r="O38" s="4">
        <v>2</v>
      </c>
      <c r="P38" s="6">
        <v>30555</v>
      </c>
      <c r="Q38" s="7">
        <v>0.09</v>
      </c>
      <c r="R38" s="6">
        <v>55610.1</v>
      </c>
      <c r="S38" s="6">
        <v>45600.28</v>
      </c>
      <c r="T38" s="6">
        <v>10009.82</v>
      </c>
      <c r="U38" s="8">
        <v>0.18</v>
      </c>
      <c r="V38" s="4" t="s">
        <v>54</v>
      </c>
      <c r="W38" s="4" t="s">
        <v>55</v>
      </c>
      <c r="X38" s="4">
        <v>3</v>
      </c>
      <c r="Y38" s="4" t="s">
        <v>42</v>
      </c>
      <c r="AE38" s="13" t="s">
        <v>26</v>
      </c>
      <c r="AG38" s="9" t="s">
        <v>178</v>
      </c>
      <c r="AJ38" s="4"/>
      <c r="AK38" s="4" t="str">
        <f t="shared" si="1"/>
        <v/>
      </c>
      <c r="AL38" s="13"/>
    </row>
    <row r="39" spans="1:38" x14ac:dyDescent="0.25">
      <c r="A39" s="4" t="s">
        <v>210</v>
      </c>
      <c r="B39" s="5" t="s">
        <v>211</v>
      </c>
      <c r="C39" s="4" t="s">
        <v>59</v>
      </c>
      <c r="D39" s="4" t="s">
        <v>60</v>
      </c>
      <c r="E39" s="4">
        <v>2025</v>
      </c>
      <c r="F39" s="4" t="s">
        <v>31</v>
      </c>
      <c r="G39" s="4" t="s">
        <v>61</v>
      </c>
      <c r="H39" s="4" t="s">
        <v>175</v>
      </c>
      <c r="I39" s="4" t="s">
        <v>34</v>
      </c>
      <c r="J39" s="4" t="s">
        <v>63</v>
      </c>
      <c r="K39" s="4" t="s">
        <v>86</v>
      </c>
      <c r="L39" s="4" t="s">
        <v>51</v>
      </c>
      <c r="M39" s="4" t="s">
        <v>128</v>
      </c>
      <c r="N39" s="4" t="s">
        <v>129</v>
      </c>
      <c r="O39" s="4">
        <v>2</v>
      </c>
      <c r="P39" s="6">
        <v>2294</v>
      </c>
      <c r="Q39" s="7">
        <v>0.17</v>
      </c>
      <c r="R39" s="6">
        <v>3808.04</v>
      </c>
      <c r="S39" s="6">
        <v>2665.63</v>
      </c>
      <c r="T39" s="6">
        <v>1142.4100000000001</v>
      </c>
      <c r="U39" s="8">
        <v>0.3</v>
      </c>
      <c r="V39" s="4" t="s">
        <v>78</v>
      </c>
      <c r="W39" s="4" t="s">
        <v>41</v>
      </c>
      <c r="X39" s="4">
        <v>7</v>
      </c>
      <c r="Y39" s="4" t="s">
        <v>42</v>
      </c>
      <c r="AE39" s="14">
        <v>13163785.080000008</v>
      </c>
      <c r="AG39" s="9" t="s">
        <v>82</v>
      </c>
      <c r="AH39">
        <v>249</v>
      </c>
      <c r="AJ39" s="4" t="str">
        <f t="shared" si="1"/>
        <v>Grand Total</v>
      </c>
      <c r="AK39" s="4">
        <f t="shared" si="1"/>
        <v>249</v>
      </c>
      <c r="AL39" s="13"/>
    </row>
    <row r="40" spans="1:38" x14ac:dyDescent="0.25">
      <c r="A40" s="4" t="s">
        <v>212</v>
      </c>
      <c r="B40" s="5" t="s">
        <v>213</v>
      </c>
      <c r="C40" s="4" t="s">
        <v>192</v>
      </c>
      <c r="D40" s="4" t="s">
        <v>30</v>
      </c>
      <c r="E40" s="4">
        <v>2025</v>
      </c>
      <c r="F40" s="4" t="s">
        <v>99</v>
      </c>
      <c r="G40" s="4" t="s">
        <v>214</v>
      </c>
      <c r="H40" s="4" t="s">
        <v>215</v>
      </c>
      <c r="I40" s="4" t="s">
        <v>48</v>
      </c>
      <c r="J40" s="4" t="s">
        <v>35</v>
      </c>
      <c r="K40" s="4" t="s">
        <v>50</v>
      </c>
      <c r="L40" s="4" t="s">
        <v>37</v>
      </c>
      <c r="M40" s="4" t="s">
        <v>38</v>
      </c>
      <c r="N40" s="4" t="s">
        <v>39</v>
      </c>
      <c r="O40" s="4">
        <v>6</v>
      </c>
      <c r="P40" s="6">
        <v>3475</v>
      </c>
      <c r="Q40" s="7">
        <v>0.02</v>
      </c>
      <c r="R40" s="6">
        <v>20433</v>
      </c>
      <c r="S40" s="6">
        <v>11646.81</v>
      </c>
      <c r="T40" s="6">
        <v>8786.19</v>
      </c>
      <c r="U40" s="8">
        <v>0.43</v>
      </c>
      <c r="V40" s="4" t="s">
        <v>105</v>
      </c>
      <c r="W40" s="4" t="s">
        <v>87</v>
      </c>
      <c r="X40" s="4">
        <v>0</v>
      </c>
      <c r="Y40" s="4" t="s">
        <v>123</v>
      </c>
    </row>
    <row r="41" spans="1:38" x14ac:dyDescent="0.25">
      <c r="A41" s="4" t="s">
        <v>216</v>
      </c>
      <c r="B41" s="5" t="s">
        <v>172</v>
      </c>
      <c r="C41" s="4" t="s">
        <v>85</v>
      </c>
      <c r="D41" s="4" t="s">
        <v>30</v>
      </c>
      <c r="E41" s="4">
        <v>2025</v>
      </c>
      <c r="F41" s="4" t="s">
        <v>91</v>
      </c>
      <c r="G41" s="4" t="s">
        <v>183</v>
      </c>
      <c r="H41" s="4" t="s">
        <v>184</v>
      </c>
      <c r="I41" s="4" t="s">
        <v>94</v>
      </c>
      <c r="J41" s="4" t="s">
        <v>35</v>
      </c>
      <c r="K41" s="4" t="s">
        <v>86</v>
      </c>
      <c r="L41" s="4" t="s">
        <v>51</v>
      </c>
      <c r="M41" s="4" t="s">
        <v>128</v>
      </c>
      <c r="N41" s="4" t="s">
        <v>129</v>
      </c>
      <c r="O41" s="4">
        <v>5</v>
      </c>
      <c r="P41" s="6">
        <v>3445</v>
      </c>
      <c r="Q41" s="7">
        <v>0.14000000000000001</v>
      </c>
      <c r="R41" s="6">
        <v>14813.5</v>
      </c>
      <c r="S41" s="6">
        <v>10369.450000000001</v>
      </c>
      <c r="T41" s="6">
        <v>4444.05</v>
      </c>
      <c r="U41" s="8">
        <v>0.3</v>
      </c>
      <c r="V41" s="4" t="s">
        <v>67</v>
      </c>
      <c r="W41" s="4" t="s">
        <v>87</v>
      </c>
      <c r="X41" s="4">
        <v>0</v>
      </c>
      <c r="Y41" s="4" t="s">
        <v>42</v>
      </c>
    </row>
    <row r="42" spans="1:38" x14ac:dyDescent="0.25">
      <c r="A42" s="4" t="s">
        <v>217</v>
      </c>
      <c r="B42" s="5" t="s">
        <v>218</v>
      </c>
      <c r="C42" s="4" t="s">
        <v>159</v>
      </c>
      <c r="D42" s="4" t="s">
        <v>56</v>
      </c>
      <c r="E42" s="4">
        <v>2025</v>
      </c>
      <c r="F42" s="4" t="s">
        <v>91</v>
      </c>
      <c r="G42" s="4" t="s">
        <v>148</v>
      </c>
      <c r="H42" s="4" t="s">
        <v>149</v>
      </c>
      <c r="I42" s="4" t="s">
        <v>34</v>
      </c>
      <c r="J42" s="4" t="s">
        <v>35</v>
      </c>
      <c r="K42" s="4" t="s">
        <v>156</v>
      </c>
      <c r="L42" s="4" t="s">
        <v>37</v>
      </c>
      <c r="M42" s="4" t="s">
        <v>80</v>
      </c>
      <c r="N42" s="4" t="s">
        <v>81</v>
      </c>
      <c r="O42" s="4">
        <v>12</v>
      </c>
      <c r="P42" s="6">
        <v>1512</v>
      </c>
      <c r="Q42" s="7">
        <v>0.18</v>
      </c>
      <c r="R42" s="6">
        <v>14878.08</v>
      </c>
      <c r="S42" s="6">
        <v>8629.2900000000009</v>
      </c>
      <c r="T42" s="6">
        <v>6248.79</v>
      </c>
      <c r="U42" s="8">
        <v>0.42</v>
      </c>
      <c r="V42" s="4" t="s">
        <v>67</v>
      </c>
      <c r="W42" s="4" t="s">
        <v>87</v>
      </c>
      <c r="X42" s="4">
        <v>0</v>
      </c>
      <c r="Y42" s="4" t="s">
        <v>42</v>
      </c>
      <c r="AH42" s="10">
        <f>AH44</f>
        <v>10798287.389999995</v>
      </c>
    </row>
    <row r="43" spans="1:38" x14ac:dyDescent="0.25">
      <c r="A43" s="4" t="s">
        <v>219</v>
      </c>
      <c r="B43" s="5" t="s">
        <v>220</v>
      </c>
      <c r="C43" s="4" t="s">
        <v>209</v>
      </c>
      <c r="D43" s="4" t="s">
        <v>68</v>
      </c>
      <c r="E43" s="4">
        <v>2025</v>
      </c>
      <c r="F43" s="4" t="s">
        <v>91</v>
      </c>
      <c r="G43" s="4" t="s">
        <v>148</v>
      </c>
      <c r="H43" s="4" t="s">
        <v>149</v>
      </c>
      <c r="I43" s="4" t="s">
        <v>94</v>
      </c>
      <c r="J43" s="4" t="s">
        <v>35</v>
      </c>
      <c r="K43" s="4" t="s">
        <v>36</v>
      </c>
      <c r="L43" s="4" t="s">
        <v>51</v>
      </c>
      <c r="M43" s="4" t="s">
        <v>128</v>
      </c>
      <c r="N43" s="4" t="s">
        <v>129</v>
      </c>
      <c r="O43" s="4">
        <v>1</v>
      </c>
      <c r="P43" s="6">
        <v>2176</v>
      </c>
      <c r="Q43" s="7">
        <v>7.0000000000000007E-2</v>
      </c>
      <c r="R43" s="6">
        <v>2023.68</v>
      </c>
      <c r="S43" s="6">
        <v>1416.58</v>
      </c>
      <c r="T43" s="6">
        <v>607.1</v>
      </c>
      <c r="U43" s="8">
        <v>0.3</v>
      </c>
      <c r="V43" s="4" t="s">
        <v>105</v>
      </c>
      <c r="W43" s="4" t="s">
        <v>55</v>
      </c>
      <c r="X43" s="4">
        <v>1</v>
      </c>
      <c r="Y43" s="4" t="s">
        <v>42</v>
      </c>
      <c r="AH43" s="13" t="s">
        <v>221</v>
      </c>
    </row>
    <row r="44" spans="1:38" x14ac:dyDescent="0.25">
      <c r="A44" s="4" t="s">
        <v>222</v>
      </c>
      <c r="B44" s="5" t="s">
        <v>223</v>
      </c>
      <c r="C44" s="4" t="s">
        <v>159</v>
      </c>
      <c r="D44" s="4" t="s">
        <v>56</v>
      </c>
      <c r="E44" s="4">
        <v>2025</v>
      </c>
      <c r="F44" s="4" t="s">
        <v>45</v>
      </c>
      <c r="G44" s="4" t="s">
        <v>110</v>
      </c>
      <c r="H44" s="4" t="s">
        <v>111</v>
      </c>
      <c r="I44" s="4" t="s">
        <v>94</v>
      </c>
      <c r="J44" s="4" t="s">
        <v>49</v>
      </c>
      <c r="K44" s="4" t="s">
        <v>86</v>
      </c>
      <c r="L44" s="4" t="s">
        <v>102</v>
      </c>
      <c r="M44" s="4" t="s">
        <v>103</v>
      </c>
      <c r="N44" s="4" t="s">
        <v>104</v>
      </c>
      <c r="O44" s="4">
        <v>15</v>
      </c>
      <c r="P44" s="6">
        <v>93</v>
      </c>
      <c r="Q44" s="7">
        <v>7.0000000000000007E-2</v>
      </c>
      <c r="R44" s="6">
        <v>1297.3499999999999</v>
      </c>
      <c r="S44" s="6">
        <v>830.3</v>
      </c>
      <c r="T44" s="6">
        <v>467.05</v>
      </c>
      <c r="U44" s="8">
        <v>0.36</v>
      </c>
      <c r="V44" s="4" t="s">
        <v>54</v>
      </c>
      <c r="W44" s="4" t="s">
        <v>41</v>
      </c>
      <c r="X44" s="4">
        <v>4</v>
      </c>
      <c r="Y44" s="4" t="s">
        <v>123</v>
      </c>
      <c r="AH44" s="14">
        <v>10798287.389999995</v>
      </c>
    </row>
    <row r="45" spans="1:38" x14ac:dyDescent="0.25">
      <c r="A45" s="4" t="s">
        <v>224</v>
      </c>
      <c r="B45" s="5" t="s">
        <v>225</v>
      </c>
      <c r="C45" s="4" t="s">
        <v>85</v>
      </c>
      <c r="D45" s="4" t="s">
        <v>30</v>
      </c>
      <c r="E45" s="4">
        <v>2025</v>
      </c>
      <c r="F45" s="4" t="s">
        <v>45</v>
      </c>
      <c r="G45" s="4" t="s">
        <v>167</v>
      </c>
      <c r="H45" s="4" t="s">
        <v>168</v>
      </c>
      <c r="I45" s="4" t="s">
        <v>94</v>
      </c>
      <c r="J45" s="4" t="s">
        <v>35</v>
      </c>
      <c r="K45" s="4" t="s">
        <v>95</v>
      </c>
      <c r="L45" s="4" t="s">
        <v>75</v>
      </c>
      <c r="M45" s="4" t="s">
        <v>76</v>
      </c>
      <c r="N45" s="4" t="s">
        <v>77</v>
      </c>
      <c r="O45" s="4">
        <v>1</v>
      </c>
      <c r="P45" s="6">
        <v>7682</v>
      </c>
      <c r="Q45" s="7">
        <v>0.05</v>
      </c>
      <c r="R45" s="6">
        <v>7297.9</v>
      </c>
      <c r="S45" s="6">
        <v>5181.51</v>
      </c>
      <c r="T45" s="6">
        <v>2116.39</v>
      </c>
      <c r="U45" s="8">
        <v>0.28999999999999998</v>
      </c>
      <c r="V45" s="4" t="s">
        <v>78</v>
      </c>
      <c r="W45" s="4" t="s">
        <v>55</v>
      </c>
      <c r="X45" s="4">
        <v>2</v>
      </c>
      <c r="Y45" s="4" t="s">
        <v>123</v>
      </c>
    </row>
    <row r="46" spans="1:38" x14ac:dyDescent="0.25">
      <c r="A46" s="4" t="s">
        <v>226</v>
      </c>
      <c r="B46" s="5" t="s">
        <v>227</v>
      </c>
      <c r="C46" s="4" t="s">
        <v>29</v>
      </c>
      <c r="D46" s="4" t="s">
        <v>30</v>
      </c>
      <c r="E46" s="4">
        <v>2025</v>
      </c>
      <c r="F46" s="4" t="s">
        <v>31</v>
      </c>
      <c r="G46" s="4" t="s">
        <v>188</v>
      </c>
      <c r="H46" s="4" t="s">
        <v>189</v>
      </c>
      <c r="I46" s="4" t="s">
        <v>34</v>
      </c>
      <c r="J46" s="4" t="s">
        <v>63</v>
      </c>
      <c r="K46" s="4" t="s">
        <v>36</v>
      </c>
      <c r="L46" s="4" t="s">
        <v>51</v>
      </c>
      <c r="M46" s="4" t="s">
        <v>128</v>
      </c>
      <c r="N46" s="4" t="s">
        <v>228</v>
      </c>
      <c r="O46" s="4">
        <v>3</v>
      </c>
      <c r="P46" s="6">
        <v>1107</v>
      </c>
      <c r="Q46" s="7">
        <v>0.09</v>
      </c>
      <c r="R46" s="6">
        <v>3022.11</v>
      </c>
      <c r="S46" s="6">
        <v>2055.0300000000002</v>
      </c>
      <c r="T46" s="6">
        <v>967.08</v>
      </c>
      <c r="U46" s="8">
        <v>0.32</v>
      </c>
      <c r="V46" s="4" t="s">
        <v>105</v>
      </c>
      <c r="W46" s="4" t="s">
        <v>41</v>
      </c>
      <c r="X46" s="4">
        <v>3</v>
      </c>
      <c r="Y46" s="4" t="s">
        <v>42</v>
      </c>
    </row>
    <row r="47" spans="1:38" x14ac:dyDescent="0.25">
      <c r="A47" s="4" t="s">
        <v>229</v>
      </c>
      <c r="B47" s="5" t="s">
        <v>230</v>
      </c>
      <c r="C47" s="4" t="s">
        <v>117</v>
      </c>
      <c r="D47" s="4" t="s">
        <v>56</v>
      </c>
      <c r="E47" s="4">
        <v>2025</v>
      </c>
      <c r="F47" s="4" t="s">
        <v>99</v>
      </c>
      <c r="G47" s="4" t="s">
        <v>100</v>
      </c>
      <c r="H47" s="4" t="s">
        <v>101</v>
      </c>
      <c r="I47" s="4" t="s">
        <v>94</v>
      </c>
      <c r="J47" s="4" t="s">
        <v>49</v>
      </c>
      <c r="K47" s="4" t="s">
        <v>74</v>
      </c>
      <c r="L47" s="4" t="s">
        <v>75</v>
      </c>
      <c r="M47" s="4" t="s">
        <v>121</v>
      </c>
      <c r="N47" s="4" t="s">
        <v>122</v>
      </c>
      <c r="O47" s="4">
        <v>1</v>
      </c>
      <c r="P47" s="6">
        <v>6510</v>
      </c>
      <c r="Q47" s="7">
        <v>0.05</v>
      </c>
      <c r="R47" s="6">
        <v>6184.5</v>
      </c>
      <c r="S47" s="6">
        <v>4452.84</v>
      </c>
      <c r="T47" s="6">
        <v>1731.66</v>
      </c>
      <c r="U47" s="8">
        <v>0.28000000000000003</v>
      </c>
      <c r="V47" s="4" t="s">
        <v>54</v>
      </c>
      <c r="W47" s="4" t="s">
        <v>55</v>
      </c>
      <c r="X47" s="4">
        <v>3</v>
      </c>
      <c r="Y47" s="4" t="s">
        <v>123</v>
      </c>
    </row>
    <row r="48" spans="1:38" x14ac:dyDescent="0.25">
      <c r="A48" s="4" t="s">
        <v>231</v>
      </c>
      <c r="B48" s="5" t="s">
        <v>232</v>
      </c>
      <c r="C48" s="4" t="s">
        <v>71</v>
      </c>
      <c r="D48" s="4" t="s">
        <v>68</v>
      </c>
      <c r="E48" s="4">
        <v>2025</v>
      </c>
      <c r="F48" s="4" t="s">
        <v>31</v>
      </c>
      <c r="G48" s="4" t="s">
        <v>32</v>
      </c>
      <c r="H48" s="4" t="s">
        <v>127</v>
      </c>
      <c r="I48" s="4" t="s">
        <v>48</v>
      </c>
      <c r="J48" s="4" t="s">
        <v>49</v>
      </c>
      <c r="K48" s="4" t="s">
        <v>132</v>
      </c>
      <c r="L48" s="4" t="s">
        <v>37</v>
      </c>
      <c r="M48" s="4" t="s">
        <v>80</v>
      </c>
      <c r="N48" s="4" t="s">
        <v>81</v>
      </c>
      <c r="O48" s="4">
        <v>5</v>
      </c>
      <c r="P48" s="6">
        <v>1490</v>
      </c>
      <c r="Q48" s="7">
        <v>0.1</v>
      </c>
      <c r="R48" s="6">
        <v>6705</v>
      </c>
      <c r="S48" s="6">
        <v>3888.9</v>
      </c>
      <c r="T48" s="6">
        <v>2816.1</v>
      </c>
      <c r="U48" s="8">
        <v>0.42</v>
      </c>
      <c r="V48" s="4" t="s">
        <v>54</v>
      </c>
      <c r="W48" s="4" t="s">
        <v>55</v>
      </c>
      <c r="X48" s="4">
        <v>2</v>
      </c>
      <c r="Y48" s="4" t="s">
        <v>42</v>
      </c>
      <c r="AE48" s="19" t="s">
        <v>25</v>
      </c>
      <c r="AF48" t="s">
        <v>26</v>
      </c>
      <c r="AH48" s="13" t="s">
        <v>25</v>
      </c>
      <c r="AI48" s="13" t="s">
        <v>26</v>
      </c>
    </row>
    <row r="49" spans="1:35" x14ac:dyDescent="0.25">
      <c r="A49" s="4" t="s">
        <v>233</v>
      </c>
      <c r="B49" s="5" t="s">
        <v>234</v>
      </c>
      <c r="C49" s="4" t="s">
        <v>29</v>
      </c>
      <c r="D49" s="4" t="s">
        <v>30</v>
      </c>
      <c r="E49" s="4">
        <v>2025</v>
      </c>
      <c r="F49" s="4" t="s">
        <v>91</v>
      </c>
      <c r="G49" s="4" t="s">
        <v>183</v>
      </c>
      <c r="H49" s="4" t="s">
        <v>206</v>
      </c>
      <c r="I49" s="4" t="s">
        <v>34</v>
      </c>
      <c r="J49" s="4" t="s">
        <v>63</v>
      </c>
      <c r="K49" s="4" t="s">
        <v>50</v>
      </c>
      <c r="L49" s="4" t="s">
        <v>37</v>
      </c>
      <c r="M49" s="4" t="s">
        <v>80</v>
      </c>
      <c r="N49" s="4" t="s">
        <v>150</v>
      </c>
      <c r="O49" s="4">
        <v>6</v>
      </c>
      <c r="P49" s="6">
        <v>1402</v>
      </c>
      <c r="Q49" s="7">
        <v>0.1</v>
      </c>
      <c r="R49" s="6">
        <v>7570.8</v>
      </c>
      <c r="S49" s="6">
        <v>4542.4799999999996</v>
      </c>
      <c r="T49" s="6">
        <v>3028.32</v>
      </c>
      <c r="U49" s="8">
        <v>0.4</v>
      </c>
      <c r="V49" s="4" t="s">
        <v>78</v>
      </c>
      <c r="W49" s="4" t="s">
        <v>41</v>
      </c>
      <c r="X49" s="4">
        <v>4</v>
      </c>
      <c r="Y49" s="4" t="s">
        <v>88</v>
      </c>
      <c r="AE49" s="9" t="s">
        <v>188</v>
      </c>
      <c r="AF49" s="10">
        <v>1010673.9400000001</v>
      </c>
      <c r="AH49" s="13" t="str">
        <f>IF(AE49=0,"",AE49)</f>
        <v>Bihar</v>
      </c>
      <c r="AI49" s="13">
        <f>IF(AF49=0,"",AF49)</f>
        <v>1010673.9400000001</v>
      </c>
    </row>
    <row r="50" spans="1:35" x14ac:dyDescent="0.25">
      <c r="A50" s="4" t="s">
        <v>235</v>
      </c>
      <c r="B50" s="5" t="s">
        <v>236</v>
      </c>
      <c r="C50" s="4" t="s">
        <v>117</v>
      </c>
      <c r="D50" s="4" t="s">
        <v>56</v>
      </c>
      <c r="E50" s="4">
        <v>2025</v>
      </c>
      <c r="F50" s="4" t="s">
        <v>91</v>
      </c>
      <c r="G50" s="4" t="s">
        <v>148</v>
      </c>
      <c r="H50" s="4" t="s">
        <v>149</v>
      </c>
      <c r="I50" s="4" t="s">
        <v>94</v>
      </c>
      <c r="J50" s="4" t="s">
        <v>49</v>
      </c>
      <c r="K50" s="4" t="s">
        <v>156</v>
      </c>
      <c r="L50" s="4" t="s">
        <v>37</v>
      </c>
      <c r="M50" s="4" t="s">
        <v>38</v>
      </c>
      <c r="N50" s="4" t="s">
        <v>185</v>
      </c>
      <c r="O50" s="4">
        <v>12</v>
      </c>
      <c r="P50" s="6">
        <v>5408</v>
      </c>
      <c r="Q50" s="7">
        <v>0.11</v>
      </c>
      <c r="R50" s="6">
        <v>57757.440000000002</v>
      </c>
      <c r="S50" s="6">
        <v>36387.19</v>
      </c>
      <c r="T50" s="6">
        <v>21370.25</v>
      </c>
      <c r="U50" s="8">
        <v>0.37</v>
      </c>
      <c r="V50" s="4" t="s">
        <v>78</v>
      </c>
      <c r="W50" s="4" t="s">
        <v>87</v>
      </c>
      <c r="X50" s="4">
        <v>0</v>
      </c>
      <c r="Y50" s="4" t="s">
        <v>42</v>
      </c>
      <c r="AE50" s="9" t="s">
        <v>72</v>
      </c>
      <c r="AF50" s="10">
        <v>487309.13</v>
      </c>
      <c r="AH50" s="13" t="str">
        <f t="shared" ref="AH50:AI63" si="2">IF(AE50=0,"",AE50)</f>
        <v>Delhi</v>
      </c>
      <c r="AI50" s="13">
        <f t="shared" si="2"/>
        <v>487309.13</v>
      </c>
    </row>
    <row r="51" spans="1:35" x14ac:dyDescent="0.25">
      <c r="A51" s="4" t="s">
        <v>237</v>
      </c>
      <c r="B51" s="5" t="s">
        <v>199</v>
      </c>
      <c r="C51" s="4" t="s">
        <v>117</v>
      </c>
      <c r="D51" s="4" t="s">
        <v>56</v>
      </c>
      <c r="E51" s="4">
        <v>2025</v>
      </c>
      <c r="F51" s="4" t="s">
        <v>91</v>
      </c>
      <c r="G51" s="4" t="s">
        <v>183</v>
      </c>
      <c r="H51" s="4" t="s">
        <v>184</v>
      </c>
      <c r="I51" s="4" t="s">
        <v>94</v>
      </c>
      <c r="J51" s="4" t="s">
        <v>63</v>
      </c>
      <c r="K51" s="4" t="s">
        <v>144</v>
      </c>
      <c r="L51" s="4" t="s">
        <v>102</v>
      </c>
      <c r="M51" s="4" t="s">
        <v>103</v>
      </c>
      <c r="N51" s="4" t="s">
        <v>238</v>
      </c>
      <c r="O51" s="4">
        <v>13</v>
      </c>
      <c r="P51" s="6">
        <v>107</v>
      </c>
      <c r="Q51" s="7">
        <v>0.15</v>
      </c>
      <c r="R51" s="6">
        <v>1182.3499999999999</v>
      </c>
      <c r="S51" s="6">
        <v>733.06</v>
      </c>
      <c r="T51" s="6">
        <v>449.29</v>
      </c>
      <c r="U51" s="8">
        <v>0.38</v>
      </c>
      <c r="V51" s="4" t="s">
        <v>78</v>
      </c>
      <c r="W51" s="4" t="s">
        <v>41</v>
      </c>
      <c r="X51" s="4">
        <v>6</v>
      </c>
      <c r="Y51" s="4" t="s">
        <v>42</v>
      </c>
      <c r="AE51" s="9" t="s">
        <v>148</v>
      </c>
      <c r="AF51" s="10">
        <v>847318.95000000007</v>
      </c>
      <c r="AH51" s="13" t="str">
        <f t="shared" si="2"/>
        <v>Goa</v>
      </c>
      <c r="AI51" s="13">
        <f t="shared" si="2"/>
        <v>847318.95000000007</v>
      </c>
    </row>
    <row r="52" spans="1:35" x14ac:dyDescent="0.25">
      <c r="A52" s="4" t="s">
        <v>239</v>
      </c>
      <c r="B52" s="5" t="s">
        <v>240</v>
      </c>
      <c r="C52" s="4" t="s">
        <v>71</v>
      </c>
      <c r="D52" s="4" t="s">
        <v>68</v>
      </c>
      <c r="E52" s="4">
        <v>2025</v>
      </c>
      <c r="F52" s="4" t="s">
        <v>45</v>
      </c>
      <c r="G52" s="4" t="s">
        <v>46</v>
      </c>
      <c r="H52" s="4" t="s">
        <v>47</v>
      </c>
      <c r="I52" s="4" t="s">
        <v>48</v>
      </c>
      <c r="J52" s="4" t="s">
        <v>49</v>
      </c>
      <c r="K52" s="4" t="s">
        <v>144</v>
      </c>
      <c r="L52" s="4" t="s">
        <v>37</v>
      </c>
      <c r="M52" s="4" t="s">
        <v>38</v>
      </c>
      <c r="N52" s="4" t="s">
        <v>39</v>
      </c>
      <c r="O52" s="4">
        <v>11</v>
      </c>
      <c r="P52" s="6">
        <v>3216</v>
      </c>
      <c r="Q52" s="7">
        <v>0</v>
      </c>
      <c r="R52" s="6">
        <v>35376</v>
      </c>
      <c r="S52" s="6">
        <v>20164.32</v>
      </c>
      <c r="T52" s="6">
        <v>15211.68</v>
      </c>
      <c r="U52" s="8">
        <v>0.43</v>
      </c>
      <c r="V52" s="4" t="s">
        <v>54</v>
      </c>
      <c r="W52" s="4" t="s">
        <v>87</v>
      </c>
      <c r="X52" s="4">
        <v>0</v>
      </c>
      <c r="Y52" s="4" t="s">
        <v>42</v>
      </c>
      <c r="AE52" s="9" t="s">
        <v>183</v>
      </c>
      <c r="AF52" s="10">
        <v>1755826.0000000002</v>
      </c>
      <c r="AH52" s="13" t="str">
        <f t="shared" si="2"/>
        <v>Gujarat</v>
      </c>
      <c r="AI52" s="13">
        <f t="shared" si="2"/>
        <v>1755826.0000000002</v>
      </c>
    </row>
    <row r="53" spans="1:35" x14ac:dyDescent="0.25">
      <c r="A53" s="4" t="s">
        <v>241</v>
      </c>
      <c r="B53" s="5" t="s">
        <v>199</v>
      </c>
      <c r="C53" s="4" t="s">
        <v>117</v>
      </c>
      <c r="D53" s="4" t="s">
        <v>56</v>
      </c>
      <c r="E53" s="4">
        <v>2025</v>
      </c>
      <c r="F53" s="4" t="s">
        <v>31</v>
      </c>
      <c r="G53" s="4" t="s">
        <v>32</v>
      </c>
      <c r="H53" s="4" t="s">
        <v>33</v>
      </c>
      <c r="I53" s="4" t="s">
        <v>48</v>
      </c>
      <c r="J53" s="4" t="s">
        <v>35</v>
      </c>
      <c r="K53" s="4" t="s">
        <v>120</v>
      </c>
      <c r="L53" s="4" t="s">
        <v>37</v>
      </c>
      <c r="M53" s="4" t="s">
        <v>80</v>
      </c>
      <c r="N53" s="4" t="s">
        <v>81</v>
      </c>
      <c r="O53" s="4">
        <v>7</v>
      </c>
      <c r="P53" s="6">
        <v>1968</v>
      </c>
      <c r="Q53" s="7">
        <v>0.03</v>
      </c>
      <c r="R53" s="6">
        <v>13362.72</v>
      </c>
      <c r="S53" s="6">
        <v>7750.38</v>
      </c>
      <c r="T53" s="6">
        <v>5612.34</v>
      </c>
      <c r="U53" s="8">
        <v>0.42</v>
      </c>
      <c r="V53" s="4" t="s">
        <v>40</v>
      </c>
      <c r="W53" s="4" t="s">
        <v>55</v>
      </c>
      <c r="X53" s="4">
        <v>3</v>
      </c>
      <c r="Y53" s="4" t="s">
        <v>88</v>
      </c>
      <c r="AE53" s="9" t="s">
        <v>118</v>
      </c>
      <c r="AF53" s="10">
        <v>186397.5</v>
      </c>
      <c r="AH53" s="13" t="str">
        <f t="shared" si="2"/>
        <v>Karnataka</v>
      </c>
      <c r="AI53" s="13">
        <f t="shared" si="2"/>
        <v>186397.5</v>
      </c>
    </row>
    <row r="54" spans="1:35" x14ac:dyDescent="0.25">
      <c r="A54" s="4" t="s">
        <v>242</v>
      </c>
      <c r="B54" s="5" t="s">
        <v>243</v>
      </c>
      <c r="C54" s="4" t="s">
        <v>209</v>
      </c>
      <c r="D54" s="4" t="s">
        <v>68</v>
      </c>
      <c r="E54" s="4">
        <v>2025</v>
      </c>
      <c r="F54" s="4" t="s">
        <v>45</v>
      </c>
      <c r="G54" s="4" t="s">
        <v>46</v>
      </c>
      <c r="H54" s="4" t="s">
        <v>244</v>
      </c>
      <c r="I54" s="4" t="s">
        <v>94</v>
      </c>
      <c r="J54" s="4" t="s">
        <v>63</v>
      </c>
      <c r="K54" s="4" t="s">
        <v>144</v>
      </c>
      <c r="L54" s="4" t="s">
        <v>37</v>
      </c>
      <c r="M54" s="4" t="s">
        <v>80</v>
      </c>
      <c r="N54" s="4" t="s">
        <v>81</v>
      </c>
      <c r="O54" s="4">
        <v>3</v>
      </c>
      <c r="P54" s="6">
        <v>1388</v>
      </c>
      <c r="Q54" s="7">
        <v>0.05</v>
      </c>
      <c r="R54" s="6">
        <v>3955.8</v>
      </c>
      <c r="S54" s="6">
        <v>2294.36</v>
      </c>
      <c r="T54" s="6">
        <v>1661.44</v>
      </c>
      <c r="U54" s="8">
        <v>0.42</v>
      </c>
      <c r="V54" s="4" t="s">
        <v>40</v>
      </c>
      <c r="W54" s="4" t="s">
        <v>55</v>
      </c>
      <c r="X54" s="4">
        <v>3</v>
      </c>
      <c r="Y54" s="4" t="s">
        <v>42</v>
      </c>
      <c r="AE54" s="9" t="s">
        <v>214</v>
      </c>
      <c r="AF54" s="10">
        <v>119709.65999999997</v>
      </c>
      <c r="AH54" s="13" t="str">
        <f t="shared" si="2"/>
        <v>Kerala</v>
      </c>
      <c r="AI54" s="13">
        <f t="shared" si="2"/>
        <v>119709.65999999997</v>
      </c>
    </row>
    <row r="55" spans="1:35" x14ac:dyDescent="0.25">
      <c r="A55" s="4" t="s">
        <v>245</v>
      </c>
      <c r="B55" s="5" t="s">
        <v>246</v>
      </c>
      <c r="C55" s="4" t="s">
        <v>109</v>
      </c>
      <c r="D55" s="4" t="s">
        <v>60</v>
      </c>
      <c r="E55" s="4">
        <v>2025</v>
      </c>
      <c r="F55" s="4" t="s">
        <v>91</v>
      </c>
      <c r="G55" s="4" t="s">
        <v>183</v>
      </c>
      <c r="H55" s="4" t="s">
        <v>184</v>
      </c>
      <c r="I55" s="4" t="s">
        <v>48</v>
      </c>
      <c r="J55" s="4" t="s">
        <v>35</v>
      </c>
      <c r="K55" s="4" t="s">
        <v>156</v>
      </c>
      <c r="L55" s="4" t="s">
        <v>51</v>
      </c>
      <c r="M55" s="4" t="s">
        <v>65</v>
      </c>
      <c r="N55" s="4" t="s">
        <v>247</v>
      </c>
      <c r="O55" s="4">
        <v>3</v>
      </c>
      <c r="P55" s="6">
        <v>56019</v>
      </c>
      <c r="Q55" s="7">
        <v>0.05</v>
      </c>
      <c r="R55" s="6">
        <v>159654.15</v>
      </c>
      <c r="S55" s="6">
        <v>134109.49</v>
      </c>
      <c r="T55" s="6">
        <v>25544.66</v>
      </c>
      <c r="U55" s="8">
        <v>0.16</v>
      </c>
      <c r="V55" s="4" t="s">
        <v>105</v>
      </c>
      <c r="W55" s="4" t="s">
        <v>55</v>
      </c>
      <c r="X55" s="4">
        <v>3</v>
      </c>
      <c r="Y55" s="4" t="s">
        <v>88</v>
      </c>
      <c r="AE55" s="9" t="s">
        <v>92</v>
      </c>
      <c r="AF55" s="10">
        <v>1077433.6199999999</v>
      </c>
      <c r="AH55" s="13" t="str">
        <f t="shared" si="2"/>
        <v>Maharashtra</v>
      </c>
      <c r="AI55" s="13">
        <f t="shared" si="2"/>
        <v>1077433.6199999999</v>
      </c>
    </row>
    <row r="56" spans="1:35" x14ac:dyDescent="0.25">
      <c r="A56" s="4" t="s">
        <v>248</v>
      </c>
      <c r="B56" s="5" t="s">
        <v>249</v>
      </c>
      <c r="C56" s="4" t="s">
        <v>117</v>
      </c>
      <c r="D56" s="4" t="s">
        <v>56</v>
      </c>
      <c r="E56" s="4">
        <v>2025</v>
      </c>
      <c r="F56" s="4" t="s">
        <v>31</v>
      </c>
      <c r="G56" s="4" t="s">
        <v>61</v>
      </c>
      <c r="H56" s="4" t="s">
        <v>62</v>
      </c>
      <c r="I56" s="4" t="s">
        <v>94</v>
      </c>
      <c r="J56" s="4" t="s">
        <v>63</v>
      </c>
      <c r="K56" s="4" t="s">
        <v>50</v>
      </c>
      <c r="L56" s="4" t="s">
        <v>75</v>
      </c>
      <c r="M56" s="4" t="s">
        <v>76</v>
      </c>
      <c r="N56" s="4" t="s">
        <v>77</v>
      </c>
      <c r="O56" s="4">
        <v>2</v>
      </c>
      <c r="P56" s="6">
        <v>8737</v>
      </c>
      <c r="Q56" s="7">
        <v>0.15</v>
      </c>
      <c r="R56" s="6">
        <v>14852.9</v>
      </c>
      <c r="S56" s="6">
        <v>10545.56</v>
      </c>
      <c r="T56" s="6">
        <v>4307.34</v>
      </c>
      <c r="U56" s="8">
        <v>0.28999999999999998</v>
      </c>
      <c r="V56" s="4" t="s">
        <v>54</v>
      </c>
      <c r="W56" s="4" t="s">
        <v>87</v>
      </c>
      <c r="X56" s="4">
        <v>0</v>
      </c>
      <c r="Y56" s="4" t="s">
        <v>42</v>
      </c>
      <c r="AE56" s="9" t="s">
        <v>32</v>
      </c>
      <c r="AF56" s="10">
        <v>1193271.76</v>
      </c>
      <c r="AH56" s="13" t="str">
        <f t="shared" si="2"/>
        <v>Odisha</v>
      </c>
      <c r="AI56" s="13">
        <f t="shared" si="2"/>
        <v>1193271.76</v>
      </c>
    </row>
    <row r="57" spans="1:35" x14ac:dyDescent="0.25">
      <c r="A57" s="4" t="s">
        <v>250</v>
      </c>
      <c r="B57" s="5" t="s">
        <v>251</v>
      </c>
      <c r="C57" s="4" t="s">
        <v>85</v>
      </c>
      <c r="D57" s="4" t="s">
        <v>30</v>
      </c>
      <c r="E57" s="4">
        <v>2025</v>
      </c>
      <c r="F57" s="4" t="s">
        <v>99</v>
      </c>
      <c r="G57" s="4" t="s">
        <v>252</v>
      </c>
      <c r="H57" s="4" t="s">
        <v>253</v>
      </c>
      <c r="I57" s="4" t="s">
        <v>94</v>
      </c>
      <c r="J57" s="4" t="s">
        <v>35</v>
      </c>
      <c r="K57" s="4" t="s">
        <v>95</v>
      </c>
      <c r="L57" s="4" t="s">
        <v>51</v>
      </c>
      <c r="M57" s="4" t="s">
        <v>52</v>
      </c>
      <c r="N57" s="4" t="s">
        <v>53</v>
      </c>
      <c r="O57" s="4">
        <v>1</v>
      </c>
      <c r="P57" s="6">
        <v>67033</v>
      </c>
      <c r="Q57" s="7">
        <v>0.06</v>
      </c>
      <c r="R57" s="6">
        <v>63011.02</v>
      </c>
      <c r="S57" s="6">
        <v>55449.7</v>
      </c>
      <c r="T57" s="6">
        <v>7561.32</v>
      </c>
      <c r="U57" s="8">
        <v>0.12</v>
      </c>
      <c r="V57" s="4" t="s">
        <v>105</v>
      </c>
      <c r="W57" s="4" t="s">
        <v>87</v>
      </c>
      <c r="X57" s="4">
        <v>0</v>
      </c>
      <c r="Y57" s="4" t="s">
        <v>42</v>
      </c>
      <c r="AE57" s="9" t="s">
        <v>110</v>
      </c>
      <c r="AF57" s="10">
        <v>946500.94000000006</v>
      </c>
      <c r="AH57" s="13" t="str">
        <f t="shared" si="2"/>
        <v>Punjab</v>
      </c>
      <c r="AI57" s="13">
        <f t="shared" si="2"/>
        <v>946500.94000000006</v>
      </c>
    </row>
    <row r="58" spans="1:35" x14ac:dyDescent="0.25">
      <c r="A58" s="4" t="s">
        <v>254</v>
      </c>
      <c r="B58" s="5" t="s">
        <v>243</v>
      </c>
      <c r="C58" s="4" t="s">
        <v>209</v>
      </c>
      <c r="D58" s="4" t="s">
        <v>68</v>
      </c>
      <c r="E58" s="4">
        <v>2025</v>
      </c>
      <c r="F58" s="4" t="s">
        <v>91</v>
      </c>
      <c r="G58" s="4" t="s">
        <v>148</v>
      </c>
      <c r="H58" s="4" t="s">
        <v>149</v>
      </c>
      <c r="I58" s="4" t="s">
        <v>94</v>
      </c>
      <c r="J58" s="4" t="s">
        <v>49</v>
      </c>
      <c r="K58" s="4" t="s">
        <v>120</v>
      </c>
      <c r="L58" s="4" t="s">
        <v>102</v>
      </c>
      <c r="M58" s="4" t="s">
        <v>103</v>
      </c>
      <c r="N58" s="4" t="s">
        <v>104</v>
      </c>
      <c r="O58" s="4">
        <v>15</v>
      </c>
      <c r="P58" s="6">
        <v>110</v>
      </c>
      <c r="Q58" s="7">
        <v>0.13</v>
      </c>
      <c r="R58" s="6">
        <v>1435.5</v>
      </c>
      <c r="S58" s="6">
        <v>918.72</v>
      </c>
      <c r="T58" s="6">
        <v>516.78</v>
      </c>
      <c r="U58" s="8">
        <v>0.36</v>
      </c>
      <c r="V58" s="4" t="s">
        <v>105</v>
      </c>
      <c r="W58" s="4" t="s">
        <v>55</v>
      </c>
      <c r="X58" s="4">
        <v>3</v>
      </c>
      <c r="Y58" s="4" t="s">
        <v>42</v>
      </c>
      <c r="AE58" s="9" t="s">
        <v>46</v>
      </c>
      <c r="AF58" s="10">
        <v>2217038.6500000004</v>
      </c>
      <c r="AH58" s="13" t="str">
        <f t="shared" si="2"/>
        <v>Rajasthan</v>
      </c>
      <c r="AI58" s="13">
        <f t="shared" si="2"/>
        <v>2217038.6500000004</v>
      </c>
    </row>
    <row r="59" spans="1:35" x14ac:dyDescent="0.25">
      <c r="A59" s="4" t="s">
        <v>255</v>
      </c>
      <c r="B59" s="5" t="s">
        <v>256</v>
      </c>
      <c r="C59" s="4" t="s">
        <v>209</v>
      </c>
      <c r="D59" s="4" t="s">
        <v>68</v>
      </c>
      <c r="E59" s="4">
        <v>2025</v>
      </c>
      <c r="F59" s="4" t="s">
        <v>31</v>
      </c>
      <c r="G59" s="4" t="s">
        <v>32</v>
      </c>
      <c r="H59" s="4" t="s">
        <v>127</v>
      </c>
      <c r="I59" s="4" t="s">
        <v>34</v>
      </c>
      <c r="J59" s="4" t="s">
        <v>35</v>
      </c>
      <c r="K59" s="4" t="s">
        <v>120</v>
      </c>
      <c r="L59" s="4" t="s">
        <v>75</v>
      </c>
      <c r="M59" s="4" t="s">
        <v>121</v>
      </c>
      <c r="N59" s="4" t="s">
        <v>122</v>
      </c>
      <c r="O59" s="4">
        <v>2</v>
      </c>
      <c r="P59" s="6">
        <v>4989</v>
      </c>
      <c r="Q59" s="7">
        <v>0.14000000000000001</v>
      </c>
      <c r="R59" s="6">
        <v>8581.08</v>
      </c>
      <c r="S59" s="6">
        <v>6178.38</v>
      </c>
      <c r="T59" s="6">
        <v>2402.6999999999998</v>
      </c>
      <c r="U59" s="8">
        <v>0.28000000000000003</v>
      </c>
      <c r="V59" s="4" t="s">
        <v>67</v>
      </c>
      <c r="W59" s="4" t="s">
        <v>87</v>
      </c>
      <c r="X59" s="4">
        <v>0</v>
      </c>
      <c r="Y59" s="4" t="s">
        <v>88</v>
      </c>
      <c r="AE59" s="9" t="s">
        <v>252</v>
      </c>
      <c r="AF59" s="10">
        <v>769336.50999999978</v>
      </c>
      <c r="AH59" s="13" t="str">
        <f t="shared" si="2"/>
        <v>Tamil Nadu</v>
      </c>
      <c r="AI59" s="13">
        <f t="shared" si="2"/>
        <v>769336.50999999978</v>
      </c>
    </row>
    <row r="60" spans="1:35" x14ac:dyDescent="0.25">
      <c r="A60" s="4" t="s">
        <v>257</v>
      </c>
      <c r="B60" s="5" t="s">
        <v>177</v>
      </c>
      <c r="C60" s="4" t="s">
        <v>136</v>
      </c>
      <c r="D60" s="4" t="s">
        <v>60</v>
      </c>
      <c r="E60" s="4">
        <v>2025</v>
      </c>
      <c r="F60" s="4" t="s">
        <v>31</v>
      </c>
      <c r="G60" s="4" t="s">
        <v>32</v>
      </c>
      <c r="H60" s="4" t="s">
        <v>33</v>
      </c>
      <c r="I60" s="4" t="s">
        <v>48</v>
      </c>
      <c r="J60" s="4" t="s">
        <v>63</v>
      </c>
      <c r="K60" s="4" t="s">
        <v>120</v>
      </c>
      <c r="L60" s="4" t="s">
        <v>37</v>
      </c>
      <c r="M60" s="4" t="s">
        <v>38</v>
      </c>
      <c r="N60" s="4" t="s">
        <v>185</v>
      </c>
      <c r="O60" s="4">
        <v>5</v>
      </c>
      <c r="P60" s="6">
        <v>7577</v>
      </c>
      <c r="Q60" s="7">
        <v>0.06</v>
      </c>
      <c r="R60" s="6">
        <v>35611.9</v>
      </c>
      <c r="S60" s="6">
        <v>22435.5</v>
      </c>
      <c r="T60" s="6">
        <v>13176.4</v>
      </c>
      <c r="U60" s="8">
        <v>0.37</v>
      </c>
      <c r="V60" s="4" t="s">
        <v>105</v>
      </c>
      <c r="W60" s="4" t="s">
        <v>55</v>
      </c>
      <c r="X60" s="4">
        <v>1</v>
      </c>
      <c r="Y60" s="4" t="s">
        <v>106</v>
      </c>
      <c r="AE60" s="9" t="s">
        <v>100</v>
      </c>
      <c r="AF60" s="10">
        <v>1289274.1600000001</v>
      </c>
      <c r="AH60" s="13" t="str">
        <f t="shared" si="2"/>
        <v>Telangana</v>
      </c>
      <c r="AI60" s="13">
        <f t="shared" si="2"/>
        <v>1289274.1600000001</v>
      </c>
    </row>
    <row r="61" spans="1:35" x14ac:dyDescent="0.25">
      <c r="A61" s="4" t="s">
        <v>258</v>
      </c>
      <c r="B61" s="5" t="s">
        <v>259</v>
      </c>
      <c r="C61" s="4" t="s">
        <v>59</v>
      </c>
      <c r="D61" s="4" t="s">
        <v>60</v>
      </c>
      <c r="E61" s="4">
        <v>2025</v>
      </c>
      <c r="F61" s="4" t="s">
        <v>45</v>
      </c>
      <c r="G61" s="4" t="s">
        <v>72</v>
      </c>
      <c r="H61" s="4" t="s">
        <v>73</v>
      </c>
      <c r="I61" s="4" t="s">
        <v>34</v>
      </c>
      <c r="J61" s="4" t="s">
        <v>49</v>
      </c>
      <c r="K61" s="4" t="s">
        <v>86</v>
      </c>
      <c r="L61" s="4" t="s">
        <v>37</v>
      </c>
      <c r="M61" s="4" t="s">
        <v>38</v>
      </c>
      <c r="N61" s="4" t="s">
        <v>39</v>
      </c>
      <c r="O61" s="4">
        <v>12</v>
      </c>
      <c r="P61" s="6">
        <v>2595</v>
      </c>
      <c r="Q61" s="7">
        <v>0.09</v>
      </c>
      <c r="R61" s="6">
        <v>28337.4</v>
      </c>
      <c r="S61" s="6">
        <v>16152.32</v>
      </c>
      <c r="T61" s="6">
        <v>12185.08</v>
      </c>
      <c r="U61" s="8">
        <v>0.43</v>
      </c>
      <c r="V61" s="4" t="s">
        <v>78</v>
      </c>
      <c r="W61" s="4" t="s">
        <v>41</v>
      </c>
      <c r="X61" s="4">
        <v>5</v>
      </c>
      <c r="Y61" s="4" t="s">
        <v>123</v>
      </c>
      <c r="AE61" s="9" t="s">
        <v>167</v>
      </c>
      <c r="AF61" s="10">
        <v>247519.31999999998</v>
      </c>
      <c r="AH61" s="13" t="str">
        <f t="shared" si="2"/>
        <v>Uttar Pradesh</v>
      </c>
      <c r="AI61" s="13">
        <f t="shared" si="2"/>
        <v>247519.31999999998</v>
      </c>
    </row>
    <row r="62" spans="1:35" x14ac:dyDescent="0.25">
      <c r="A62" s="4" t="s">
        <v>260</v>
      </c>
      <c r="B62" s="5" t="s">
        <v>234</v>
      </c>
      <c r="C62" s="4" t="s">
        <v>29</v>
      </c>
      <c r="D62" s="4" t="s">
        <v>30</v>
      </c>
      <c r="E62" s="4">
        <v>2025</v>
      </c>
      <c r="F62" s="4" t="s">
        <v>31</v>
      </c>
      <c r="G62" s="4" t="s">
        <v>61</v>
      </c>
      <c r="H62" s="4" t="s">
        <v>175</v>
      </c>
      <c r="I62" s="4" t="s">
        <v>94</v>
      </c>
      <c r="J62" s="4" t="s">
        <v>35</v>
      </c>
      <c r="K62" s="4" t="s">
        <v>64</v>
      </c>
      <c r="L62" s="4" t="s">
        <v>51</v>
      </c>
      <c r="M62" s="4" t="s">
        <v>52</v>
      </c>
      <c r="N62" s="4" t="s">
        <v>53</v>
      </c>
      <c r="O62" s="4">
        <v>5</v>
      </c>
      <c r="P62" s="6">
        <v>59260</v>
      </c>
      <c r="Q62" s="7">
        <v>0.11</v>
      </c>
      <c r="R62" s="6">
        <v>263707</v>
      </c>
      <c r="S62" s="6">
        <v>232062.16</v>
      </c>
      <c r="T62" s="6">
        <v>31644.84</v>
      </c>
      <c r="U62" s="8">
        <v>0.12</v>
      </c>
      <c r="V62" s="4" t="s">
        <v>78</v>
      </c>
      <c r="W62" s="4" t="s">
        <v>87</v>
      </c>
      <c r="X62" s="4">
        <v>0</v>
      </c>
      <c r="Y62" s="4" t="s">
        <v>42</v>
      </c>
      <c r="AE62" s="9" t="s">
        <v>61</v>
      </c>
      <c r="AF62" s="10">
        <v>1016174.9400000002</v>
      </c>
      <c r="AH62" s="13" t="str">
        <f t="shared" si="2"/>
        <v>West Bengal</v>
      </c>
      <c r="AI62" s="13">
        <f t="shared" si="2"/>
        <v>1016174.9400000002</v>
      </c>
    </row>
    <row r="63" spans="1:35" x14ac:dyDescent="0.25">
      <c r="A63" s="4" t="s">
        <v>261</v>
      </c>
      <c r="B63" s="5" t="s">
        <v>262</v>
      </c>
      <c r="C63" s="4" t="s">
        <v>159</v>
      </c>
      <c r="D63" s="4" t="s">
        <v>56</v>
      </c>
      <c r="E63" s="4">
        <v>2025</v>
      </c>
      <c r="F63" s="4" t="s">
        <v>99</v>
      </c>
      <c r="G63" s="4" t="s">
        <v>214</v>
      </c>
      <c r="H63" s="4" t="s">
        <v>215</v>
      </c>
      <c r="I63" s="4" t="s">
        <v>94</v>
      </c>
      <c r="J63" s="4" t="s">
        <v>49</v>
      </c>
      <c r="K63" s="4" t="s">
        <v>120</v>
      </c>
      <c r="L63" s="4" t="s">
        <v>37</v>
      </c>
      <c r="M63" s="4" t="s">
        <v>80</v>
      </c>
      <c r="N63" s="4" t="s">
        <v>150</v>
      </c>
      <c r="O63" s="4">
        <v>7</v>
      </c>
      <c r="P63" s="6">
        <v>1804</v>
      </c>
      <c r="Q63" s="7">
        <v>0.1</v>
      </c>
      <c r="R63" s="6">
        <v>11365.2</v>
      </c>
      <c r="S63" s="6">
        <v>6819.12</v>
      </c>
      <c r="T63" s="6">
        <v>4546.08</v>
      </c>
      <c r="U63" s="8">
        <v>0.4</v>
      </c>
      <c r="V63" s="4" t="s">
        <v>54</v>
      </c>
      <c r="W63" s="4" t="s">
        <v>41</v>
      </c>
      <c r="X63" s="4">
        <v>5</v>
      </c>
      <c r="Y63" s="4" t="s">
        <v>123</v>
      </c>
      <c r="AE63" s="9" t="s">
        <v>82</v>
      </c>
      <c r="AF63" s="10">
        <v>13163785.080000002</v>
      </c>
      <c r="AH63" s="13" t="str">
        <f t="shared" si="2"/>
        <v>Grand Total</v>
      </c>
      <c r="AI63" s="13">
        <f t="shared" si="2"/>
        <v>13163785.080000002</v>
      </c>
    </row>
    <row r="64" spans="1:35" x14ac:dyDescent="0.25">
      <c r="A64" s="4" t="s">
        <v>263</v>
      </c>
      <c r="B64" s="5" t="s">
        <v>264</v>
      </c>
      <c r="C64" s="4" t="s">
        <v>29</v>
      </c>
      <c r="D64" s="4" t="s">
        <v>30</v>
      </c>
      <c r="E64" s="4">
        <v>2025</v>
      </c>
      <c r="F64" s="4" t="s">
        <v>99</v>
      </c>
      <c r="G64" s="4" t="s">
        <v>100</v>
      </c>
      <c r="H64" s="4" t="s">
        <v>101</v>
      </c>
      <c r="I64" s="4" t="s">
        <v>48</v>
      </c>
      <c r="J64" s="4" t="s">
        <v>35</v>
      </c>
      <c r="K64" s="4" t="s">
        <v>50</v>
      </c>
      <c r="L64" s="4" t="s">
        <v>75</v>
      </c>
      <c r="M64" s="4" t="s">
        <v>121</v>
      </c>
      <c r="N64" s="4" t="s">
        <v>137</v>
      </c>
      <c r="O64" s="4">
        <v>2</v>
      </c>
      <c r="P64" s="6">
        <v>12186</v>
      </c>
      <c r="Q64" s="7">
        <v>0.02</v>
      </c>
      <c r="R64" s="6">
        <v>23884.560000000001</v>
      </c>
      <c r="S64" s="6">
        <v>17674.57</v>
      </c>
      <c r="T64" s="6">
        <v>6209.99</v>
      </c>
      <c r="U64" s="8">
        <v>0.26</v>
      </c>
      <c r="V64" s="4" t="s">
        <v>105</v>
      </c>
      <c r="W64" s="4" t="s">
        <v>55</v>
      </c>
      <c r="X64" s="4">
        <v>3</v>
      </c>
      <c r="Y64" s="4" t="s">
        <v>106</v>
      </c>
    </row>
    <row r="65" spans="1:34" x14ac:dyDescent="0.25">
      <c r="A65" s="4" t="s">
        <v>265</v>
      </c>
      <c r="B65" s="5" t="s">
        <v>266</v>
      </c>
      <c r="C65" s="4" t="s">
        <v>85</v>
      </c>
      <c r="D65" s="4" t="s">
        <v>30</v>
      </c>
      <c r="E65" s="4">
        <v>2025</v>
      </c>
      <c r="F65" s="4" t="s">
        <v>99</v>
      </c>
      <c r="G65" s="4" t="s">
        <v>252</v>
      </c>
      <c r="H65" s="4" t="s">
        <v>253</v>
      </c>
      <c r="I65" s="4" t="s">
        <v>94</v>
      </c>
      <c r="J65" s="4" t="s">
        <v>63</v>
      </c>
      <c r="K65" s="4" t="s">
        <v>132</v>
      </c>
      <c r="L65" s="4" t="s">
        <v>51</v>
      </c>
      <c r="M65" s="4" t="s">
        <v>65</v>
      </c>
      <c r="N65" s="4" t="s">
        <v>66</v>
      </c>
      <c r="O65" s="4">
        <v>2</v>
      </c>
      <c r="P65" s="6">
        <v>66583</v>
      </c>
      <c r="Q65" s="7">
        <v>0.13</v>
      </c>
      <c r="R65" s="6">
        <v>115854.42</v>
      </c>
      <c r="S65" s="6">
        <v>98476.26</v>
      </c>
      <c r="T65" s="6">
        <v>17378.16</v>
      </c>
      <c r="U65" s="8">
        <v>0.15</v>
      </c>
      <c r="V65" s="4" t="s">
        <v>67</v>
      </c>
      <c r="W65" s="4" t="s">
        <v>41</v>
      </c>
      <c r="X65" s="4">
        <v>4</v>
      </c>
      <c r="Y65" s="4" t="s">
        <v>42</v>
      </c>
    </row>
    <row r="66" spans="1:34" x14ac:dyDescent="0.25">
      <c r="A66" s="4" t="s">
        <v>267</v>
      </c>
      <c r="B66" s="5" t="s">
        <v>268</v>
      </c>
      <c r="C66" s="4" t="s">
        <v>109</v>
      </c>
      <c r="D66" s="4" t="s">
        <v>60</v>
      </c>
      <c r="E66" s="4">
        <v>2025</v>
      </c>
      <c r="F66" s="4" t="s">
        <v>91</v>
      </c>
      <c r="G66" s="4" t="s">
        <v>92</v>
      </c>
      <c r="H66" s="4" t="s">
        <v>143</v>
      </c>
      <c r="I66" s="4" t="s">
        <v>94</v>
      </c>
      <c r="J66" s="4" t="s">
        <v>63</v>
      </c>
      <c r="K66" s="4" t="s">
        <v>144</v>
      </c>
      <c r="L66" s="4" t="s">
        <v>51</v>
      </c>
      <c r="M66" s="4" t="s">
        <v>52</v>
      </c>
      <c r="N66" s="4" t="s">
        <v>145</v>
      </c>
      <c r="O66" s="4">
        <v>5</v>
      </c>
      <c r="P66" s="6">
        <v>22312</v>
      </c>
      <c r="Q66" s="7">
        <v>7.0000000000000007E-2</v>
      </c>
      <c r="R66" s="6">
        <v>103750.8</v>
      </c>
      <c r="S66" s="6">
        <v>85075.66</v>
      </c>
      <c r="T66" s="6">
        <v>18675.14</v>
      </c>
      <c r="U66" s="8">
        <v>0.18</v>
      </c>
      <c r="V66" s="4" t="s">
        <v>67</v>
      </c>
      <c r="W66" s="4" t="s">
        <v>87</v>
      </c>
      <c r="X66" s="4">
        <v>0</v>
      </c>
      <c r="Y66" s="4" t="s">
        <v>123</v>
      </c>
    </row>
    <row r="67" spans="1:34" x14ac:dyDescent="0.25">
      <c r="A67" s="4" t="s">
        <v>269</v>
      </c>
      <c r="B67" s="5" t="s">
        <v>270</v>
      </c>
      <c r="C67" s="4" t="s">
        <v>59</v>
      </c>
      <c r="D67" s="4" t="s">
        <v>60</v>
      </c>
      <c r="E67" s="4">
        <v>2025</v>
      </c>
      <c r="F67" s="4" t="s">
        <v>31</v>
      </c>
      <c r="G67" s="4" t="s">
        <v>188</v>
      </c>
      <c r="H67" s="4" t="s">
        <v>189</v>
      </c>
      <c r="I67" s="4" t="s">
        <v>34</v>
      </c>
      <c r="J67" s="4" t="s">
        <v>49</v>
      </c>
      <c r="K67" s="4" t="s">
        <v>74</v>
      </c>
      <c r="L67" s="4" t="s">
        <v>51</v>
      </c>
      <c r="M67" s="4" t="s">
        <v>65</v>
      </c>
      <c r="N67" s="4" t="s">
        <v>247</v>
      </c>
      <c r="O67" s="4">
        <v>2</v>
      </c>
      <c r="P67" s="6">
        <v>61465</v>
      </c>
      <c r="Q67" s="7">
        <v>0.16</v>
      </c>
      <c r="R67" s="6">
        <v>103261.2</v>
      </c>
      <c r="S67" s="6">
        <v>86739.41</v>
      </c>
      <c r="T67" s="6">
        <v>16521.79</v>
      </c>
      <c r="U67" s="8">
        <v>0.16</v>
      </c>
      <c r="V67" s="4" t="s">
        <v>67</v>
      </c>
      <c r="W67" s="4" t="s">
        <v>87</v>
      </c>
      <c r="X67" s="4">
        <v>0</v>
      </c>
      <c r="Y67" s="4" t="s">
        <v>42</v>
      </c>
    </row>
    <row r="68" spans="1:34" x14ac:dyDescent="0.25">
      <c r="A68" s="4" t="s">
        <v>271</v>
      </c>
      <c r="B68" s="5" t="s">
        <v>220</v>
      </c>
      <c r="C68" s="4" t="s">
        <v>209</v>
      </c>
      <c r="D68" s="4" t="s">
        <v>68</v>
      </c>
      <c r="E68" s="4">
        <v>2025</v>
      </c>
      <c r="F68" s="4" t="s">
        <v>45</v>
      </c>
      <c r="G68" s="4" t="s">
        <v>46</v>
      </c>
      <c r="H68" s="4" t="s">
        <v>244</v>
      </c>
      <c r="I68" s="4" t="s">
        <v>34</v>
      </c>
      <c r="J68" s="4" t="s">
        <v>63</v>
      </c>
      <c r="K68" s="4" t="s">
        <v>156</v>
      </c>
      <c r="L68" s="4" t="s">
        <v>37</v>
      </c>
      <c r="M68" s="4" t="s">
        <v>80</v>
      </c>
      <c r="N68" s="4" t="s">
        <v>150</v>
      </c>
      <c r="O68" s="4">
        <v>9</v>
      </c>
      <c r="P68" s="6">
        <v>1584</v>
      </c>
      <c r="Q68" s="7">
        <v>0.1</v>
      </c>
      <c r="R68" s="6">
        <v>12830.4</v>
      </c>
      <c r="S68" s="6">
        <v>7698.24</v>
      </c>
      <c r="T68" s="6">
        <v>5132.16</v>
      </c>
      <c r="U68" s="8">
        <v>0.4</v>
      </c>
      <c r="V68" s="4" t="s">
        <v>54</v>
      </c>
      <c r="W68" s="4" t="s">
        <v>41</v>
      </c>
      <c r="X68" s="4">
        <v>7</v>
      </c>
      <c r="Y68" s="4" t="s">
        <v>106</v>
      </c>
    </row>
    <row r="69" spans="1:34" x14ac:dyDescent="0.25">
      <c r="A69" s="4" t="s">
        <v>272</v>
      </c>
      <c r="B69" s="5" t="s">
        <v>273</v>
      </c>
      <c r="C69" s="4" t="s">
        <v>109</v>
      </c>
      <c r="D69" s="4" t="s">
        <v>60</v>
      </c>
      <c r="E69" s="4">
        <v>2025</v>
      </c>
      <c r="F69" s="4" t="s">
        <v>31</v>
      </c>
      <c r="G69" s="4" t="s">
        <v>32</v>
      </c>
      <c r="H69" s="4" t="s">
        <v>127</v>
      </c>
      <c r="I69" s="4" t="s">
        <v>48</v>
      </c>
      <c r="J69" s="4" t="s">
        <v>63</v>
      </c>
      <c r="K69" s="4" t="s">
        <v>95</v>
      </c>
      <c r="L69" s="4" t="s">
        <v>102</v>
      </c>
      <c r="M69" s="4" t="s">
        <v>113</v>
      </c>
      <c r="N69" s="4" t="s">
        <v>114</v>
      </c>
      <c r="O69" s="4">
        <v>5</v>
      </c>
      <c r="P69" s="6">
        <v>387</v>
      </c>
      <c r="Q69" s="7">
        <v>0.09</v>
      </c>
      <c r="R69" s="6">
        <v>1760.85</v>
      </c>
      <c r="S69" s="6">
        <v>1162.1600000000001</v>
      </c>
      <c r="T69" s="6">
        <v>598.69000000000005</v>
      </c>
      <c r="U69" s="8">
        <v>0.34</v>
      </c>
      <c r="V69" s="4" t="s">
        <v>78</v>
      </c>
      <c r="W69" s="4" t="s">
        <v>87</v>
      </c>
      <c r="X69" s="4">
        <v>0</v>
      </c>
      <c r="Y69" s="4" t="s">
        <v>42</v>
      </c>
    </row>
    <row r="70" spans="1:34" x14ac:dyDescent="0.25">
      <c r="A70" s="4" t="s">
        <v>274</v>
      </c>
      <c r="B70" s="5" t="s">
        <v>275</v>
      </c>
      <c r="C70" s="4" t="s">
        <v>85</v>
      </c>
      <c r="D70" s="4" t="s">
        <v>30</v>
      </c>
      <c r="E70" s="4">
        <v>2025</v>
      </c>
      <c r="F70" s="4" t="s">
        <v>91</v>
      </c>
      <c r="G70" s="4" t="s">
        <v>92</v>
      </c>
      <c r="H70" s="4" t="s">
        <v>143</v>
      </c>
      <c r="I70" s="4" t="s">
        <v>94</v>
      </c>
      <c r="J70" s="4" t="s">
        <v>49</v>
      </c>
      <c r="K70" s="4" t="s">
        <v>120</v>
      </c>
      <c r="L70" s="4" t="s">
        <v>37</v>
      </c>
      <c r="M70" s="4" t="s">
        <v>80</v>
      </c>
      <c r="N70" s="4" t="s">
        <v>150</v>
      </c>
      <c r="O70" s="4">
        <v>2</v>
      </c>
      <c r="P70" s="6">
        <v>2234</v>
      </c>
      <c r="Q70" s="7">
        <v>0.1</v>
      </c>
      <c r="R70" s="6">
        <v>4021.2</v>
      </c>
      <c r="S70" s="6">
        <v>2412.7199999999998</v>
      </c>
      <c r="T70" s="6">
        <v>1608.48</v>
      </c>
      <c r="U70" s="8">
        <v>0.4</v>
      </c>
      <c r="V70" s="4" t="s">
        <v>78</v>
      </c>
      <c r="W70" s="4" t="s">
        <v>87</v>
      </c>
      <c r="X70" s="4">
        <v>0</v>
      </c>
      <c r="Y70" s="4" t="s">
        <v>42</v>
      </c>
    </row>
    <row r="71" spans="1:34" x14ac:dyDescent="0.25">
      <c r="A71" s="4" t="s">
        <v>276</v>
      </c>
      <c r="B71" s="5" t="s">
        <v>152</v>
      </c>
      <c r="C71" s="4" t="s">
        <v>153</v>
      </c>
      <c r="D71" s="4" t="s">
        <v>68</v>
      </c>
      <c r="E71" s="4">
        <v>2025</v>
      </c>
      <c r="F71" s="4" t="s">
        <v>99</v>
      </c>
      <c r="G71" s="4" t="s">
        <v>252</v>
      </c>
      <c r="H71" s="4" t="s">
        <v>277</v>
      </c>
      <c r="I71" s="4" t="s">
        <v>48</v>
      </c>
      <c r="J71" s="4" t="s">
        <v>35</v>
      </c>
      <c r="K71" s="4" t="s">
        <v>36</v>
      </c>
      <c r="L71" s="4" t="s">
        <v>75</v>
      </c>
      <c r="M71" s="4" t="s">
        <v>76</v>
      </c>
      <c r="N71" s="4" t="s">
        <v>77</v>
      </c>
      <c r="O71" s="4">
        <v>2</v>
      </c>
      <c r="P71" s="6">
        <v>5337</v>
      </c>
      <c r="Q71" s="7">
        <v>0.09</v>
      </c>
      <c r="R71" s="6">
        <v>9713.34</v>
      </c>
      <c r="S71" s="6">
        <v>6896.47</v>
      </c>
      <c r="T71" s="6">
        <v>2816.87</v>
      </c>
      <c r="U71" s="8">
        <v>0.28999999999999998</v>
      </c>
      <c r="V71" s="4" t="s">
        <v>78</v>
      </c>
      <c r="W71" s="4" t="s">
        <v>55</v>
      </c>
      <c r="X71" s="4">
        <v>3</v>
      </c>
      <c r="Y71" s="4" t="s">
        <v>88</v>
      </c>
    </row>
    <row r="72" spans="1:34" x14ac:dyDescent="0.25">
      <c r="A72" s="4" t="s">
        <v>278</v>
      </c>
      <c r="B72" s="5" t="s">
        <v>155</v>
      </c>
      <c r="C72" s="4" t="s">
        <v>98</v>
      </c>
      <c r="D72" s="4" t="s">
        <v>56</v>
      </c>
      <c r="E72" s="4">
        <v>2025</v>
      </c>
      <c r="F72" s="4" t="s">
        <v>91</v>
      </c>
      <c r="G72" s="4" t="s">
        <v>148</v>
      </c>
      <c r="H72" s="4" t="s">
        <v>149</v>
      </c>
      <c r="I72" s="4" t="s">
        <v>34</v>
      </c>
      <c r="J72" s="4" t="s">
        <v>63</v>
      </c>
      <c r="K72" s="4" t="s">
        <v>36</v>
      </c>
      <c r="L72" s="4" t="s">
        <v>51</v>
      </c>
      <c r="M72" s="4" t="s">
        <v>52</v>
      </c>
      <c r="N72" s="4" t="s">
        <v>53</v>
      </c>
      <c r="O72" s="4">
        <v>4</v>
      </c>
      <c r="P72" s="6">
        <v>69386</v>
      </c>
      <c r="Q72" s="7">
        <v>0.11</v>
      </c>
      <c r="R72" s="6">
        <v>247014.16</v>
      </c>
      <c r="S72" s="6">
        <v>217372.46</v>
      </c>
      <c r="T72" s="6">
        <v>29641.7</v>
      </c>
      <c r="U72" s="8">
        <v>0.12</v>
      </c>
      <c r="V72" s="4" t="s">
        <v>54</v>
      </c>
      <c r="W72" s="4" t="s">
        <v>55</v>
      </c>
      <c r="X72" s="4">
        <v>1</v>
      </c>
      <c r="Y72" s="4" t="s">
        <v>42</v>
      </c>
    </row>
    <row r="73" spans="1:34" x14ac:dyDescent="0.25">
      <c r="A73" s="4" t="s">
        <v>279</v>
      </c>
      <c r="B73" s="5" t="s">
        <v>230</v>
      </c>
      <c r="C73" s="4" t="s">
        <v>117</v>
      </c>
      <c r="D73" s="4" t="s">
        <v>56</v>
      </c>
      <c r="E73" s="4">
        <v>2025</v>
      </c>
      <c r="F73" s="4" t="s">
        <v>99</v>
      </c>
      <c r="G73" s="4" t="s">
        <v>100</v>
      </c>
      <c r="H73" s="4" t="s">
        <v>101</v>
      </c>
      <c r="I73" s="4" t="s">
        <v>48</v>
      </c>
      <c r="J73" s="4" t="s">
        <v>49</v>
      </c>
      <c r="K73" s="4" t="s">
        <v>95</v>
      </c>
      <c r="L73" s="4" t="s">
        <v>51</v>
      </c>
      <c r="M73" s="4" t="s">
        <v>65</v>
      </c>
      <c r="N73" s="4" t="s">
        <v>247</v>
      </c>
      <c r="O73" s="4">
        <v>4</v>
      </c>
      <c r="P73" s="6">
        <v>56988</v>
      </c>
      <c r="Q73" s="7">
        <v>0.04</v>
      </c>
      <c r="R73" s="6">
        <v>218833.92000000001</v>
      </c>
      <c r="S73" s="6">
        <v>183820.49</v>
      </c>
      <c r="T73" s="6">
        <v>35013.43</v>
      </c>
      <c r="U73" s="8">
        <v>0.16</v>
      </c>
      <c r="V73" s="4" t="s">
        <v>105</v>
      </c>
      <c r="W73" s="4" t="s">
        <v>41</v>
      </c>
      <c r="X73" s="4">
        <v>5</v>
      </c>
      <c r="Y73" s="4" t="s">
        <v>42</v>
      </c>
    </row>
    <row r="74" spans="1:34" x14ac:dyDescent="0.25">
      <c r="A74" s="4" t="s">
        <v>280</v>
      </c>
      <c r="B74" s="5" t="s">
        <v>281</v>
      </c>
      <c r="C74" s="4" t="s">
        <v>159</v>
      </c>
      <c r="D74" s="4" t="s">
        <v>56</v>
      </c>
      <c r="E74" s="4">
        <v>2025</v>
      </c>
      <c r="F74" s="4" t="s">
        <v>99</v>
      </c>
      <c r="G74" s="4" t="s">
        <v>118</v>
      </c>
      <c r="H74" s="4" t="s">
        <v>119</v>
      </c>
      <c r="I74" s="4" t="s">
        <v>94</v>
      </c>
      <c r="J74" s="4" t="s">
        <v>35</v>
      </c>
      <c r="K74" s="4" t="s">
        <v>86</v>
      </c>
      <c r="L74" s="4" t="s">
        <v>102</v>
      </c>
      <c r="M74" s="4" t="s">
        <v>113</v>
      </c>
      <c r="N74" s="4" t="s">
        <v>114</v>
      </c>
      <c r="O74" s="4">
        <v>25</v>
      </c>
      <c r="P74" s="6">
        <v>309</v>
      </c>
      <c r="Q74" s="7">
        <v>0.13</v>
      </c>
      <c r="R74" s="6">
        <v>6720.75</v>
      </c>
      <c r="S74" s="6">
        <v>4435.7</v>
      </c>
      <c r="T74" s="6">
        <v>2285.0500000000002</v>
      </c>
      <c r="U74" s="8">
        <v>0.34</v>
      </c>
      <c r="V74" s="4" t="s">
        <v>78</v>
      </c>
      <c r="W74" s="4" t="s">
        <v>55</v>
      </c>
      <c r="X74" s="4">
        <v>1</v>
      </c>
      <c r="Y74" s="4" t="s">
        <v>88</v>
      </c>
    </row>
    <row r="75" spans="1:34" x14ac:dyDescent="0.25">
      <c r="A75" s="4" t="s">
        <v>282</v>
      </c>
      <c r="B75" s="5" t="s">
        <v>251</v>
      </c>
      <c r="C75" s="4" t="s">
        <v>85</v>
      </c>
      <c r="D75" s="4" t="s">
        <v>30</v>
      </c>
      <c r="E75" s="4">
        <v>2025</v>
      </c>
      <c r="F75" s="4" t="s">
        <v>31</v>
      </c>
      <c r="G75" s="4" t="s">
        <v>61</v>
      </c>
      <c r="H75" s="4" t="s">
        <v>175</v>
      </c>
      <c r="I75" s="4" t="s">
        <v>48</v>
      </c>
      <c r="J75" s="4" t="s">
        <v>49</v>
      </c>
      <c r="K75" s="4" t="s">
        <v>36</v>
      </c>
      <c r="L75" s="4" t="s">
        <v>51</v>
      </c>
      <c r="M75" s="4" t="s">
        <v>128</v>
      </c>
      <c r="N75" s="4" t="s">
        <v>228</v>
      </c>
      <c r="O75" s="4">
        <v>3</v>
      </c>
      <c r="P75" s="6">
        <v>1013</v>
      </c>
      <c r="Q75" s="7">
        <v>0</v>
      </c>
      <c r="R75" s="6">
        <v>3039</v>
      </c>
      <c r="S75" s="6">
        <v>2066.52</v>
      </c>
      <c r="T75" s="6">
        <v>972.48</v>
      </c>
      <c r="U75" s="8">
        <v>0.32</v>
      </c>
      <c r="V75" s="4" t="s">
        <v>67</v>
      </c>
      <c r="W75" s="4" t="s">
        <v>41</v>
      </c>
      <c r="X75" s="4">
        <v>5</v>
      </c>
      <c r="Y75" s="4" t="s">
        <v>42</v>
      </c>
    </row>
    <row r="76" spans="1:34" x14ac:dyDescent="0.25">
      <c r="A76" s="4" t="s">
        <v>283</v>
      </c>
      <c r="B76" s="5" t="s">
        <v>284</v>
      </c>
      <c r="C76" s="4" t="s">
        <v>136</v>
      </c>
      <c r="D76" s="4" t="s">
        <v>60</v>
      </c>
      <c r="E76" s="4">
        <v>2025</v>
      </c>
      <c r="F76" s="4" t="s">
        <v>45</v>
      </c>
      <c r="G76" s="4" t="s">
        <v>72</v>
      </c>
      <c r="H76" s="4" t="s">
        <v>73</v>
      </c>
      <c r="I76" s="4" t="s">
        <v>34</v>
      </c>
      <c r="J76" s="4" t="s">
        <v>49</v>
      </c>
      <c r="K76" s="4" t="s">
        <v>156</v>
      </c>
      <c r="L76" s="4" t="s">
        <v>102</v>
      </c>
      <c r="M76" s="4" t="s">
        <v>103</v>
      </c>
      <c r="N76" s="4" t="s">
        <v>238</v>
      </c>
      <c r="O76" s="4">
        <v>23</v>
      </c>
      <c r="P76" s="6">
        <v>47</v>
      </c>
      <c r="Q76" s="7">
        <v>0.14000000000000001</v>
      </c>
      <c r="R76" s="6">
        <v>929.66</v>
      </c>
      <c r="S76" s="6">
        <v>576.39</v>
      </c>
      <c r="T76" s="6">
        <v>353.27</v>
      </c>
      <c r="U76" s="8">
        <v>0.38</v>
      </c>
      <c r="V76" s="4" t="s">
        <v>67</v>
      </c>
      <c r="W76" s="4" t="s">
        <v>55</v>
      </c>
      <c r="X76" s="4">
        <v>1</v>
      </c>
      <c r="Y76" s="4" t="s">
        <v>88</v>
      </c>
      <c r="AE76" t="s">
        <v>25</v>
      </c>
      <c r="AF76" t="s">
        <v>161</v>
      </c>
      <c r="AG76" t="s">
        <v>162</v>
      </c>
      <c r="AH76" t="s">
        <v>163</v>
      </c>
    </row>
    <row r="77" spans="1:34" x14ac:dyDescent="0.25">
      <c r="A77" s="4" t="s">
        <v>285</v>
      </c>
      <c r="B77" s="5" t="s">
        <v>205</v>
      </c>
      <c r="C77" s="4" t="s">
        <v>192</v>
      </c>
      <c r="D77" s="4" t="s">
        <v>30</v>
      </c>
      <c r="E77" s="4">
        <v>2025</v>
      </c>
      <c r="F77" s="4" t="s">
        <v>31</v>
      </c>
      <c r="G77" s="4" t="s">
        <v>32</v>
      </c>
      <c r="H77" s="4" t="s">
        <v>33</v>
      </c>
      <c r="I77" s="4" t="s">
        <v>34</v>
      </c>
      <c r="J77" s="4" t="s">
        <v>63</v>
      </c>
      <c r="K77" s="4" t="s">
        <v>74</v>
      </c>
      <c r="L77" s="4" t="s">
        <v>51</v>
      </c>
      <c r="M77" s="4" t="s">
        <v>128</v>
      </c>
      <c r="N77" s="4" t="s">
        <v>228</v>
      </c>
      <c r="O77" s="4">
        <v>5</v>
      </c>
      <c r="P77" s="6">
        <v>836</v>
      </c>
      <c r="Q77" s="7">
        <v>0.1</v>
      </c>
      <c r="R77" s="6">
        <v>3762</v>
      </c>
      <c r="S77" s="6">
        <v>2558.16</v>
      </c>
      <c r="T77" s="6">
        <v>1203.8399999999999</v>
      </c>
      <c r="U77" s="8">
        <v>0.32</v>
      </c>
      <c r="V77" s="4" t="s">
        <v>67</v>
      </c>
      <c r="W77" s="4" t="s">
        <v>41</v>
      </c>
      <c r="X77" s="4">
        <v>5</v>
      </c>
      <c r="Y77" s="4" t="s">
        <v>42</v>
      </c>
      <c r="AE77" t="str">
        <f>IF(AE23=0,"",AE23)</f>
        <v>Clothing</v>
      </c>
      <c r="AF77">
        <f>IF(AF23=0,"",AF23)</f>
        <v>174289</v>
      </c>
      <c r="AG77">
        <f>IF(AG23=0,"",AG23)</f>
        <v>409</v>
      </c>
      <c r="AH77" s="12">
        <f>IF(AH23=0,"",AH23)</f>
        <v>4.1868927811539017E-2</v>
      </c>
    </row>
    <row r="78" spans="1:34" x14ac:dyDescent="0.25">
      <c r="A78" s="4" t="s">
        <v>286</v>
      </c>
      <c r="B78" s="5" t="s">
        <v>287</v>
      </c>
      <c r="C78" s="4" t="s">
        <v>136</v>
      </c>
      <c r="D78" s="4" t="s">
        <v>60</v>
      </c>
      <c r="E78" s="4">
        <v>2025</v>
      </c>
      <c r="F78" s="4" t="s">
        <v>91</v>
      </c>
      <c r="G78" s="4" t="s">
        <v>148</v>
      </c>
      <c r="H78" s="4" t="s">
        <v>149</v>
      </c>
      <c r="I78" s="4" t="s">
        <v>34</v>
      </c>
      <c r="J78" s="4" t="s">
        <v>35</v>
      </c>
      <c r="K78" s="4" t="s">
        <v>50</v>
      </c>
      <c r="L78" s="4" t="s">
        <v>37</v>
      </c>
      <c r="M78" s="4" t="s">
        <v>38</v>
      </c>
      <c r="N78" s="4" t="s">
        <v>185</v>
      </c>
      <c r="O78" s="4">
        <v>6</v>
      </c>
      <c r="P78" s="6">
        <v>4113</v>
      </c>
      <c r="Q78" s="7">
        <v>0.11</v>
      </c>
      <c r="R78" s="6">
        <v>21963.42</v>
      </c>
      <c r="S78" s="6">
        <v>13836.95</v>
      </c>
      <c r="T78" s="6">
        <v>8126.47</v>
      </c>
      <c r="U78" s="8">
        <v>0.37</v>
      </c>
      <c r="V78" s="4" t="s">
        <v>105</v>
      </c>
      <c r="W78" s="4" t="s">
        <v>87</v>
      </c>
      <c r="X78" s="4">
        <v>0</v>
      </c>
      <c r="Y78" s="4" t="s">
        <v>106</v>
      </c>
      <c r="AE78" t="str">
        <f t="shared" ref="AE78:AH80" si="3">IF(AE24=0,"",AE24)</f>
        <v>Electronics</v>
      </c>
      <c r="AF78">
        <f t="shared" si="3"/>
        <v>3423661</v>
      </c>
      <c r="AG78">
        <f t="shared" si="3"/>
        <v>328</v>
      </c>
      <c r="AH78" s="12">
        <f t="shared" si="3"/>
        <v>0.82245589371779904</v>
      </c>
    </row>
    <row r="79" spans="1:34" x14ac:dyDescent="0.25">
      <c r="A79" s="4" t="s">
        <v>288</v>
      </c>
      <c r="B79" s="5" t="s">
        <v>289</v>
      </c>
      <c r="C79" s="4" t="s">
        <v>209</v>
      </c>
      <c r="D79" s="4" t="s">
        <v>68</v>
      </c>
      <c r="E79" s="4">
        <v>2025</v>
      </c>
      <c r="F79" s="4" t="s">
        <v>91</v>
      </c>
      <c r="G79" s="4" t="s">
        <v>148</v>
      </c>
      <c r="H79" s="4" t="s">
        <v>149</v>
      </c>
      <c r="I79" s="4" t="s">
        <v>48</v>
      </c>
      <c r="J79" s="4" t="s">
        <v>49</v>
      </c>
      <c r="K79" s="4" t="s">
        <v>156</v>
      </c>
      <c r="L79" s="4" t="s">
        <v>37</v>
      </c>
      <c r="M79" s="4" t="s">
        <v>80</v>
      </c>
      <c r="N79" s="4" t="s">
        <v>81</v>
      </c>
      <c r="O79" s="4">
        <v>5</v>
      </c>
      <c r="P79" s="6">
        <v>1333</v>
      </c>
      <c r="Q79" s="7">
        <v>0.05</v>
      </c>
      <c r="R79" s="6">
        <v>6331.75</v>
      </c>
      <c r="S79" s="6">
        <v>3672.42</v>
      </c>
      <c r="T79" s="6">
        <v>2659.33</v>
      </c>
      <c r="U79" s="8">
        <v>0.42</v>
      </c>
      <c r="V79" s="4" t="s">
        <v>40</v>
      </c>
      <c r="W79" s="4" t="s">
        <v>55</v>
      </c>
      <c r="X79" s="4">
        <v>3</v>
      </c>
      <c r="Y79" s="4" t="s">
        <v>106</v>
      </c>
      <c r="AE79" t="str">
        <f t="shared" si="3"/>
        <v>Furniture</v>
      </c>
      <c r="AF79">
        <f t="shared" si="3"/>
        <v>552833</v>
      </c>
      <c r="AG79">
        <f t="shared" si="3"/>
        <v>99</v>
      </c>
      <c r="AH79" s="12">
        <f t="shared" si="3"/>
        <v>0.13280542644020304</v>
      </c>
    </row>
    <row r="80" spans="1:34" x14ac:dyDescent="0.25">
      <c r="A80" s="4" t="s">
        <v>290</v>
      </c>
      <c r="B80" s="5" t="s">
        <v>291</v>
      </c>
      <c r="C80" s="4" t="s">
        <v>98</v>
      </c>
      <c r="D80" s="4" t="s">
        <v>56</v>
      </c>
      <c r="E80" s="4">
        <v>2025</v>
      </c>
      <c r="F80" s="4" t="s">
        <v>31</v>
      </c>
      <c r="G80" s="4" t="s">
        <v>32</v>
      </c>
      <c r="H80" s="4" t="s">
        <v>127</v>
      </c>
      <c r="I80" s="4" t="s">
        <v>34</v>
      </c>
      <c r="J80" s="4" t="s">
        <v>35</v>
      </c>
      <c r="K80" s="4" t="s">
        <v>50</v>
      </c>
      <c r="L80" s="4" t="s">
        <v>102</v>
      </c>
      <c r="M80" s="4" t="s">
        <v>113</v>
      </c>
      <c r="N80" s="4" t="s">
        <v>114</v>
      </c>
      <c r="O80" s="4">
        <v>19</v>
      </c>
      <c r="P80" s="6">
        <v>396</v>
      </c>
      <c r="Q80" s="7">
        <v>0.15</v>
      </c>
      <c r="R80" s="6">
        <v>6395.4</v>
      </c>
      <c r="S80" s="6">
        <v>4220.96</v>
      </c>
      <c r="T80" s="6">
        <v>2174.44</v>
      </c>
      <c r="U80" s="8">
        <v>0.34</v>
      </c>
      <c r="V80" s="4" t="s">
        <v>105</v>
      </c>
      <c r="W80" s="4" t="s">
        <v>55</v>
      </c>
      <c r="X80" s="4">
        <v>3</v>
      </c>
      <c r="Y80" s="4" t="s">
        <v>42</v>
      </c>
      <c r="AE80" t="str">
        <f t="shared" si="3"/>
        <v>Grocery</v>
      </c>
      <c r="AF80">
        <f t="shared" si="3"/>
        <v>11946</v>
      </c>
      <c r="AG80">
        <f t="shared" si="3"/>
        <v>739</v>
      </c>
      <c r="AH80" s="12">
        <f t="shared" si="3"/>
        <v>2.8697520304588648E-3</v>
      </c>
    </row>
    <row r="81" spans="1:35" x14ac:dyDescent="0.25">
      <c r="A81" s="4" t="s">
        <v>292</v>
      </c>
      <c r="B81" s="5" t="s">
        <v>293</v>
      </c>
      <c r="C81" s="4" t="s">
        <v>192</v>
      </c>
      <c r="D81" s="4" t="s">
        <v>30</v>
      </c>
      <c r="E81" s="4">
        <v>2025</v>
      </c>
      <c r="F81" s="4" t="s">
        <v>99</v>
      </c>
      <c r="G81" s="4" t="s">
        <v>100</v>
      </c>
      <c r="H81" s="4" t="s">
        <v>101</v>
      </c>
      <c r="I81" s="4" t="s">
        <v>48</v>
      </c>
      <c r="J81" s="4" t="s">
        <v>63</v>
      </c>
      <c r="K81" s="4" t="s">
        <v>156</v>
      </c>
      <c r="L81" s="4" t="s">
        <v>51</v>
      </c>
      <c r="M81" s="4" t="s">
        <v>128</v>
      </c>
      <c r="N81" s="4" t="s">
        <v>228</v>
      </c>
      <c r="O81" s="4">
        <v>2</v>
      </c>
      <c r="P81" s="6">
        <v>934</v>
      </c>
      <c r="Q81" s="7">
        <v>0.03</v>
      </c>
      <c r="R81" s="6">
        <v>1811.96</v>
      </c>
      <c r="S81" s="6">
        <v>1232.1300000000001</v>
      </c>
      <c r="T81" s="6">
        <v>579.83000000000004</v>
      </c>
      <c r="U81" s="8">
        <v>0.32</v>
      </c>
      <c r="V81" s="4" t="s">
        <v>67</v>
      </c>
      <c r="W81" s="4" t="s">
        <v>87</v>
      </c>
      <c r="X81" s="4">
        <v>0</v>
      </c>
      <c r="Y81" s="4" t="s">
        <v>42</v>
      </c>
    </row>
    <row r="82" spans="1:35" x14ac:dyDescent="0.25">
      <c r="A82" s="4" t="s">
        <v>294</v>
      </c>
      <c r="B82" s="5" t="s">
        <v>295</v>
      </c>
      <c r="C82" s="4" t="s">
        <v>136</v>
      </c>
      <c r="D82" s="4" t="s">
        <v>60</v>
      </c>
      <c r="E82" s="4">
        <v>2025</v>
      </c>
      <c r="F82" s="4" t="s">
        <v>91</v>
      </c>
      <c r="G82" s="4" t="s">
        <v>183</v>
      </c>
      <c r="H82" s="4" t="s">
        <v>184</v>
      </c>
      <c r="I82" s="4" t="s">
        <v>48</v>
      </c>
      <c r="J82" s="4" t="s">
        <v>49</v>
      </c>
      <c r="K82" s="4" t="s">
        <v>50</v>
      </c>
      <c r="L82" s="4" t="s">
        <v>102</v>
      </c>
      <c r="M82" s="4" t="s">
        <v>113</v>
      </c>
      <c r="N82" s="4" t="s">
        <v>133</v>
      </c>
      <c r="O82" s="4">
        <v>24</v>
      </c>
      <c r="P82" s="6">
        <v>404</v>
      </c>
      <c r="Q82" s="7">
        <v>0.06</v>
      </c>
      <c r="R82" s="6">
        <v>9114.24</v>
      </c>
      <c r="S82" s="6">
        <v>6106.54</v>
      </c>
      <c r="T82" s="6">
        <v>3007.7</v>
      </c>
      <c r="U82" s="8">
        <v>0.33</v>
      </c>
      <c r="V82" s="4" t="s">
        <v>78</v>
      </c>
      <c r="W82" s="4" t="s">
        <v>87</v>
      </c>
      <c r="X82" s="4">
        <v>0</v>
      </c>
      <c r="Y82" s="4" t="s">
        <v>42</v>
      </c>
    </row>
    <row r="83" spans="1:35" x14ac:dyDescent="0.25">
      <c r="A83" s="4" t="s">
        <v>296</v>
      </c>
      <c r="B83" s="5" t="s">
        <v>297</v>
      </c>
      <c r="C83" s="4" t="s">
        <v>109</v>
      </c>
      <c r="D83" s="4" t="s">
        <v>60</v>
      </c>
      <c r="E83" s="4">
        <v>2025</v>
      </c>
      <c r="F83" s="4" t="s">
        <v>91</v>
      </c>
      <c r="G83" s="4" t="s">
        <v>183</v>
      </c>
      <c r="H83" s="4" t="s">
        <v>184</v>
      </c>
      <c r="I83" s="4" t="s">
        <v>94</v>
      </c>
      <c r="J83" s="4" t="s">
        <v>63</v>
      </c>
      <c r="K83" s="4" t="s">
        <v>74</v>
      </c>
      <c r="L83" s="4" t="s">
        <v>51</v>
      </c>
      <c r="M83" s="4" t="s">
        <v>52</v>
      </c>
      <c r="N83" s="4" t="s">
        <v>145</v>
      </c>
      <c r="O83" s="4">
        <v>6</v>
      </c>
      <c r="P83" s="6">
        <v>25344</v>
      </c>
      <c r="Q83" s="7">
        <v>0.09</v>
      </c>
      <c r="R83" s="6">
        <v>138378.23999999999</v>
      </c>
      <c r="S83" s="6">
        <v>113470.16</v>
      </c>
      <c r="T83" s="6">
        <v>24908.080000000002</v>
      </c>
      <c r="U83" s="8">
        <v>0.18</v>
      </c>
      <c r="V83" s="4" t="s">
        <v>40</v>
      </c>
      <c r="W83" s="4" t="s">
        <v>55</v>
      </c>
      <c r="X83" s="4">
        <v>3</v>
      </c>
      <c r="Y83" s="4" t="s">
        <v>106</v>
      </c>
    </row>
    <row r="84" spans="1:35" x14ac:dyDescent="0.25">
      <c r="A84" s="4" t="s">
        <v>298</v>
      </c>
      <c r="B84" s="5" t="s">
        <v>70</v>
      </c>
      <c r="C84" s="4" t="s">
        <v>71</v>
      </c>
      <c r="D84" s="4" t="s">
        <v>68</v>
      </c>
      <c r="E84" s="4">
        <v>2025</v>
      </c>
      <c r="F84" s="4" t="s">
        <v>31</v>
      </c>
      <c r="G84" s="4" t="s">
        <v>188</v>
      </c>
      <c r="H84" s="4" t="s">
        <v>189</v>
      </c>
      <c r="I84" s="4" t="s">
        <v>48</v>
      </c>
      <c r="J84" s="4" t="s">
        <v>63</v>
      </c>
      <c r="K84" s="4" t="s">
        <v>50</v>
      </c>
      <c r="L84" s="4" t="s">
        <v>102</v>
      </c>
      <c r="M84" s="4" t="s">
        <v>113</v>
      </c>
      <c r="N84" s="4" t="s">
        <v>133</v>
      </c>
      <c r="O84" s="4">
        <v>19</v>
      </c>
      <c r="P84" s="6">
        <v>469</v>
      </c>
      <c r="Q84" s="7">
        <v>7.0000000000000007E-2</v>
      </c>
      <c r="R84" s="6">
        <v>8287.23</v>
      </c>
      <c r="S84" s="6">
        <v>5552.44</v>
      </c>
      <c r="T84" s="6">
        <v>2734.79</v>
      </c>
      <c r="U84" s="8">
        <v>0.33</v>
      </c>
      <c r="V84" s="4" t="s">
        <v>78</v>
      </c>
      <c r="W84" s="4" t="s">
        <v>55</v>
      </c>
      <c r="X84" s="4">
        <v>1</v>
      </c>
      <c r="Y84" s="4" t="s">
        <v>106</v>
      </c>
    </row>
    <row r="85" spans="1:35" x14ac:dyDescent="0.25">
      <c r="A85" s="4" t="s">
        <v>299</v>
      </c>
      <c r="B85" s="5" t="s">
        <v>300</v>
      </c>
      <c r="C85" s="4" t="s">
        <v>109</v>
      </c>
      <c r="D85" s="4" t="s">
        <v>60</v>
      </c>
      <c r="E85" s="4">
        <v>2025</v>
      </c>
      <c r="F85" s="4" t="s">
        <v>45</v>
      </c>
      <c r="G85" s="4" t="s">
        <v>72</v>
      </c>
      <c r="H85" s="4" t="s">
        <v>73</v>
      </c>
      <c r="I85" s="4" t="s">
        <v>48</v>
      </c>
      <c r="J85" s="4" t="s">
        <v>35</v>
      </c>
      <c r="K85" s="4" t="s">
        <v>50</v>
      </c>
      <c r="L85" s="4" t="s">
        <v>102</v>
      </c>
      <c r="M85" s="4" t="s">
        <v>113</v>
      </c>
      <c r="N85" s="4" t="s">
        <v>133</v>
      </c>
      <c r="O85" s="4">
        <v>6</v>
      </c>
      <c r="P85" s="6">
        <v>553</v>
      </c>
      <c r="Q85" s="7">
        <v>0.06</v>
      </c>
      <c r="R85" s="6">
        <v>3118.92</v>
      </c>
      <c r="S85" s="6">
        <v>2089.6799999999998</v>
      </c>
      <c r="T85" s="6">
        <v>1029.24</v>
      </c>
      <c r="U85" s="8">
        <v>0.33</v>
      </c>
      <c r="V85" s="4" t="s">
        <v>105</v>
      </c>
      <c r="W85" s="4" t="s">
        <v>41</v>
      </c>
      <c r="X85" s="4">
        <v>4</v>
      </c>
      <c r="Y85" s="4" t="s">
        <v>42</v>
      </c>
      <c r="AE85" s="19" t="s">
        <v>25</v>
      </c>
      <c r="AF85" t="s">
        <v>26</v>
      </c>
      <c r="AH85" t="s">
        <v>25</v>
      </c>
      <c r="AI85" t="s">
        <v>26</v>
      </c>
    </row>
    <row r="86" spans="1:35" x14ac:dyDescent="0.25">
      <c r="A86" s="4" t="s">
        <v>301</v>
      </c>
      <c r="B86" s="5" t="s">
        <v>187</v>
      </c>
      <c r="C86" s="4" t="s">
        <v>159</v>
      </c>
      <c r="D86" s="4" t="s">
        <v>56</v>
      </c>
      <c r="E86" s="4">
        <v>2025</v>
      </c>
      <c r="F86" s="4" t="s">
        <v>45</v>
      </c>
      <c r="G86" s="4" t="s">
        <v>46</v>
      </c>
      <c r="H86" s="4" t="s">
        <v>47</v>
      </c>
      <c r="I86" s="4" t="s">
        <v>34</v>
      </c>
      <c r="J86" s="4" t="s">
        <v>63</v>
      </c>
      <c r="K86" s="4" t="s">
        <v>120</v>
      </c>
      <c r="L86" s="4" t="s">
        <v>75</v>
      </c>
      <c r="M86" s="4" t="s">
        <v>121</v>
      </c>
      <c r="N86" s="4" t="s">
        <v>122</v>
      </c>
      <c r="O86" s="4">
        <v>2</v>
      </c>
      <c r="P86" s="6">
        <v>8957</v>
      </c>
      <c r="Q86" s="7">
        <v>0.08</v>
      </c>
      <c r="R86" s="6">
        <v>16480.88</v>
      </c>
      <c r="S86" s="6">
        <v>11866.23</v>
      </c>
      <c r="T86" s="6">
        <v>4614.6499999999996</v>
      </c>
      <c r="U86" s="8">
        <v>0.28000000000000003</v>
      </c>
      <c r="V86" s="4" t="s">
        <v>40</v>
      </c>
      <c r="W86" s="4" t="s">
        <v>87</v>
      </c>
      <c r="X86" s="4">
        <v>0</v>
      </c>
      <c r="Y86" s="4" t="s">
        <v>42</v>
      </c>
      <c r="AE86" s="9" t="s">
        <v>188</v>
      </c>
      <c r="AF86" s="10">
        <v>1010673.9400000001</v>
      </c>
      <c r="AH86" t="str">
        <f>IF(AE86=0,"",AE86)</f>
        <v>Bihar</v>
      </c>
      <c r="AI86">
        <f>IF(AF86=0,"",AF86)</f>
        <v>1010673.9400000001</v>
      </c>
    </row>
    <row r="87" spans="1:35" x14ac:dyDescent="0.25">
      <c r="A87" s="4" t="s">
        <v>302</v>
      </c>
      <c r="B87" s="5" t="s">
        <v>303</v>
      </c>
      <c r="C87" s="4" t="s">
        <v>71</v>
      </c>
      <c r="D87" s="4" t="s">
        <v>68</v>
      </c>
      <c r="E87" s="4">
        <v>2025</v>
      </c>
      <c r="F87" s="4" t="s">
        <v>31</v>
      </c>
      <c r="G87" s="4" t="s">
        <v>61</v>
      </c>
      <c r="H87" s="4" t="s">
        <v>62</v>
      </c>
      <c r="I87" s="4" t="s">
        <v>34</v>
      </c>
      <c r="J87" s="4" t="s">
        <v>35</v>
      </c>
      <c r="K87" s="4" t="s">
        <v>156</v>
      </c>
      <c r="L87" s="4" t="s">
        <v>75</v>
      </c>
      <c r="M87" s="4" t="s">
        <v>121</v>
      </c>
      <c r="N87" s="4" t="s">
        <v>137</v>
      </c>
      <c r="O87" s="4">
        <v>1</v>
      </c>
      <c r="P87" s="6">
        <v>12891</v>
      </c>
      <c r="Q87" s="7">
        <v>0.15</v>
      </c>
      <c r="R87" s="6">
        <v>10957.35</v>
      </c>
      <c r="S87" s="6">
        <v>8108.44</v>
      </c>
      <c r="T87" s="6">
        <v>2848.91</v>
      </c>
      <c r="U87" s="8">
        <v>0.26</v>
      </c>
      <c r="V87" s="4" t="s">
        <v>54</v>
      </c>
      <c r="W87" s="4" t="s">
        <v>55</v>
      </c>
      <c r="X87" s="4">
        <v>3</v>
      </c>
      <c r="Y87" s="4" t="s">
        <v>123</v>
      </c>
      <c r="AE87" s="15" t="s">
        <v>189</v>
      </c>
      <c r="AF87" s="10">
        <v>1010673.9400000001</v>
      </c>
      <c r="AH87" t="str">
        <f t="shared" ref="AH87:AI125" si="4">IF(AE87=0,"",AE87)</f>
        <v>Patna</v>
      </c>
      <c r="AI87">
        <f t="shared" si="4"/>
        <v>1010673.9400000001</v>
      </c>
    </row>
    <row r="88" spans="1:35" x14ac:dyDescent="0.25">
      <c r="A88" s="4" t="s">
        <v>304</v>
      </c>
      <c r="B88" s="5" t="s">
        <v>305</v>
      </c>
      <c r="C88" s="4" t="s">
        <v>29</v>
      </c>
      <c r="D88" s="4" t="s">
        <v>30</v>
      </c>
      <c r="E88" s="4">
        <v>2025</v>
      </c>
      <c r="F88" s="4" t="s">
        <v>91</v>
      </c>
      <c r="G88" s="4" t="s">
        <v>92</v>
      </c>
      <c r="H88" s="4" t="s">
        <v>180</v>
      </c>
      <c r="I88" s="4" t="s">
        <v>34</v>
      </c>
      <c r="J88" s="4" t="s">
        <v>35</v>
      </c>
      <c r="K88" s="4" t="s">
        <v>120</v>
      </c>
      <c r="L88" s="4" t="s">
        <v>51</v>
      </c>
      <c r="M88" s="4" t="s">
        <v>65</v>
      </c>
      <c r="N88" s="4" t="s">
        <v>66</v>
      </c>
      <c r="O88" s="4">
        <v>3</v>
      </c>
      <c r="P88" s="6">
        <v>67342</v>
      </c>
      <c r="Q88" s="7">
        <v>0.15</v>
      </c>
      <c r="R88" s="6">
        <v>171722.1</v>
      </c>
      <c r="S88" s="6">
        <v>145963.79</v>
      </c>
      <c r="T88" s="6">
        <v>25758.31</v>
      </c>
      <c r="U88" s="8">
        <v>0.15</v>
      </c>
      <c r="V88" s="4" t="s">
        <v>67</v>
      </c>
      <c r="W88" s="4" t="s">
        <v>87</v>
      </c>
      <c r="X88" s="4">
        <v>0</v>
      </c>
      <c r="Y88" s="4" t="s">
        <v>42</v>
      </c>
      <c r="AE88" s="9" t="s">
        <v>72</v>
      </c>
      <c r="AF88" s="10">
        <v>487309.13</v>
      </c>
      <c r="AH88" t="str">
        <f t="shared" si="4"/>
        <v>Delhi</v>
      </c>
      <c r="AI88">
        <f t="shared" si="4"/>
        <v>487309.13</v>
      </c>
    </row>
    <row r="89" spans="1:35" x14ac:dyDescent="0.25">
      <c r="A89" s="4" t="s">
        <v>306</v>
      </c>
      <c r="B89" s="5" t="s">
        <v>307</v>
      </c>
      <c r="C89" s="4" t="s">
        <v>29</v>
      </c>
      <c r="D89" s="4" t="s">
        <v>30</v>
      </c>
      <c r="E89" s="4">
        <v>2025</v>
      </c>
      <c r="F89" s="4" t="s">
        <v>91</v>
      </c>
      <c r="G89" s="4" t="s">
        <v>183</v>
      </c>
      <c r="H89" s="4" t="s">
        <v>184</v>
      </c>
      <c r="I89" s="4" t="s">
        <v>34</v>
      </c>
      <c r="J89" s="4" t="s">
        <v>49</v>
      </c>
      <c r="K89" s="4" t="s">
        <v>50</v>
      </c>
      <c r="L89" s="4" t="s">
        <v>51</v>
      </c>
      <c r="M89" s="4" t="s">
        <v>65</v>
      </c>
      <c r="N89" s="4" t="s">
        <v>247</v>
      </c>
      <c r="O89" s="4">
        <v>6</v>
      </c>
      <c r="P89" s="6">
        <v>61497</v>
      </c>
      <c r="Q89" s="7">
        <v>0.12</v>
      </c>
      <c r="R89" s="6">
        <v>324704.15999999997</v>
      </c>
      <c r="S89" s="6">
        <v>272751.49</v>
      </c>
      <c r="T89" s="6">
        <v>51952.67</v>
      </c>
      <c r="U89" s="8">
        <v>0.16</v>
      </c>
      <c r="V89" s="4" t="s">
        <v>54</v>
      </c>
      <c r="W89" s="4" t="s">
        <v>55</v>
      </c>
      <c r="X89" s="4">
        <v>2</v>
      </c>
      <c r="Y89" s="4" t="s">
        <v>88</v>
      </c>
      <c r="AE89" s="15" t="s">
        <v>73</v>
      </c>
      <c r="AF89" s="10">
        <v>487309.13</v>
      </c>
      <c r="AH89" t="str">
        <f t="shared" si="4"/>
        <v>New Delhi</v>
      </c>
      <c r="AI89">
        <f t="shared" si="4"/>
        <v>487309.13</v>
      </c>
    </row>
    <row r="90" spans="1:35" x14ac:dyDescent="0.25">
      <c r="A90" s="4" t="s">
        <v>308</v>
      </c>
      <c r="B90" s="5" t="s">
        <v>297</v>
      </c>
      <c r="C90" s="4" t="s">
        <v>109</v>
      </c>
      <c r="D90" s="4" t="s">
        <v>60</v>
      </c>
      <c r="E90" s="4">
        <v>2025</v>
      </c>
      <c r="F90" s="4" t="s">
        <v>91</v>
      </c>
      <c r="G90" s="4" t="s">
        <v>183</v>
      </c>
      <c r="H90" s="4" t="s">
        <v>206</v>
      </c>
      <c r="I90" s="4" t="s">
        <v>34</v>
      </c>
      <c r="J90" s="4" t="s">
        <v>49</v>
      </c>
      <c r="K90" s="4" t="s">
        <v>74</v>
      </c>
      <c r="L90" s="4" t="s">
        <v>51</v>
      </c>
      <c r="M90" s="4" t="s">
        <v>65</v>
      </c>
      <c r="N90" s="4" t="s">
        <v>247</v>
      </c>
      <c r="O90" s="4">
        <v>6</v>
      </c>
      <c r="P90" s="6">
        <v>52766</v>
      </c>
      <c r="Q90" s="7">
        <v>0.16</v>
      </c>
      <c r="R90" s="6">
        <v>265940.64</v>
      </c>
      <c r="S90" s="6">
        <v>223390.14</v>
      </c>
      <c r="T90" s="6">
        <v>42550.5</v>
      </c>
      <c r="U90" s="8">
        <v>0.16</v>
      </c>
      <c r="V90" s="4" t="s">
        <v>78</v>
      </c>
      <c r="W90" s="4" t="s">
        <v>41</v>
      </c>
      <c r="X90" s="4">
        <v>7</v>
      </c>
      <c r="Y90" s="4" t="s">
        <v>106</v>
      </c>
      <c r="AE90" s="9" t="s">
        <v>148</v>
      </c>
      <c r="AF90" s="10">
        <v>847318.95000000007</v>
      </c>
      <c r="AH90" t="str">
        <f t="shared" si="4"/>
        <v>Goa</v>
      </c>
      <c r="AI90">
        <f t="shared" si="4"/>
        <v>847318.95000000007</v>
      </c>
    </row>
    <row r="91" spans="1:35" x14ac:dyDescent="0.25">
      <c r="A91" s="4" t="s">
        <v>309</v>
      </c>
      <c r="B91" s="5" t="s">
        <v>310</v>
      </c>
      <c r="C91" s="4" t="s">
        <v>71</v>
      </c>
      <c r="D91" s="4" t="s">
        <v>68</v>
      </c>
      <c r="E91" s="4">
        <v>2025</v>
      </c>
      <c r="F91" s="4" t="s">
        <v>31</v>
      </c>
      <c r="G91" s="4" t="s">
        <v>61</v>
      </c>
      <c r="H91" s="4" t="s">
        <v>62</v>
      </c>
      <c r="I91" s="4" t="s">
        <v>94</v>
      </c>
      <c r="J91" s="4" t="s">
        <v>49</v>
      </c>
      <c r="K91" s="4" t="s">
        <v>86</v>
      </c>
      <c r="L91" s="4" t="s">
        <v>37</v>
      </c>
      <c r="M91" s="4" t="s">
        <v>80</v>
      </c>
      <c r="N91" s="4" t="s">
        <v>150</v>
      </c>
      <c r="O91" s="4">
        <v>7</v>
      </c>
      <c r="P91" s="6">
        <v>2608</v>
      </c>
      <c r="Q91" s="7">
        <v>0.13</v>
      </c>
      <c r="R91" s="6">
        <v>15882.72</v>
      </c>
      <c r="S91" s="6">
        <v>9529.6299999999992</v>
      </c>
      <c r="T91" s="6">
        <v>6353.09</v>
      </c>
      <c r="U91" s="8">
        <v>0.4</v>
      </c>
      <c r="V91" s="4" t="s">
        <v>67</v>
      </c>
      <c r="W91" s="4" t="s">
        <v>41</v>
      </c>
      <c r="X91" s="4">
        <v>3</v>
      </c>
      <c r="Y91" s="4" t="s">
        <v>42</v>
      </c>
      <c r="AE91" s="15" t="s">
        <v>149</v>
      </c>
      <c r="AF91" s="10">
        <v>847318.95000000007</v>
      </c>
      <c r="AH91" t="str">
        <f t="shared" si="4"/>
        <v>Panaji</v>
      </c>
      <c r="AI91">
        <f t="shared" si="4"/>
        <v>847318.95000000007</v>
      </c>
    </row>
    <row r="92" spans="1:35" x14ac:dyDescent="0.25">
      <c r="A92" s="4" t="s">
        <v>311</v>
      </c>
      <c r="B92" s="5" t="s">
        <v>312</v>
      </c>
      <c r="C92" s="4" t="s">
        <v>29</v>
      </c>
      <c r="D92" s="4" t="s">
        <v>30</v>
      </c>
      <c r="E92" s="4">
        <v>2025</v>
      </c>
      <c r="F92" s="4" t="s">
        <v>31</v>
      </c>
      <c r="G92" s="4" t="s">
        <v>188</v>
      </c>
      <c r="H92" s="4" t="s">
        <v>189</v>
      </c>
      <c r="I92" s="4" t="s">
        <v>34</v>
      </c>
      <c r="J92" s="4" t="s">
        <v>49</v>
      </c>
      <c r="K92" s="4" t="s">
        <v>95</v>
      </c>
      <c r="L92" s="4" t="s">
        <v>51</v>
      </c>
      <c r="M92" s="4" t="s">
        <v>52</v>
      </c>
      <c r="N92" s="4" t="s">
        <v>53</v>
      </c>
      <c r="O92" s="4">
        <v>3</v>
      </c>
      <c r="P92" s="6">
        <v>68536</v>
      </c>
      <c r="Q92" s="7">
        <v>0.14000000000000001</v>
      </c>
      <c r="R92" s="6">
        <v>176822.88</v>
      </c>
      <c r="S92" s="6">
        <v>155604.13</v>
      </c>
      <c r="T92" s="6">
        <v>21218.75</v>
      </c>
      <c r="U92" s="8">
        <v>0.12</v>
      </c>
      <c r="V92" s="4" t="s">
        <v>67</v>
      </c>
      <c r="W92" s="4" t="s">
        <v>87</v>
      </c>
      <c r="X92" s="4">
        <v>0</v>
      </c>
      <c r="Y92" s="4" t="s">
        <v>88</v>
      </c>
      <c r="AE92" s="9" t="s">
        <v>183</v>
      </c>
      <c r="AF92" s="10">
        <v>1755826</v>
      </c>
      <c r="AH92" t="str">
        <f t="shared" si="4"/>
        <v>Gujarat</v>
      </c>
      <c r="AI92">
        <f t="shared" si="4"/>
        <v>1755826</v>
      </c>
    </row>
    <row r="93" spans="1:35" x14ac:dyDescent="0.25">
      <c r="A93" s="4" t="s">
        <v>313</v>
      </c>
      <c r="B93" s="5" t="s">
        <v>314</v>
      </c>
      <c r="C93" s="4" t="s">
        <v>209</v>
      </c>
      <c r="D93" s="4" t="s">
        <v>68</v>
      </c>
      <c r="E93" s="4">
        <v>2025</v>
      </c>
      <c r="F93" s="4" t="s">
        <v>91</v>
      </c>
      <c r="G93" s="4" t="s">
        <v>92</v>
      </c>
      <c r="H93" s="4" t="s">
        <v>180</v>
      </c>
      <c r="I93" s="4" t="s">
        <v>34</v>
      </c>
      <c r="J93" s="4" t="s">
        <v>49</v>
      </c>
      <c r="K93" s="4" t="s">
        <v>64</v>
      </c>
      <c r="L93" s="4" t="s">
        <v>51</v>
      </c>
      <c r="M93" s="4" t="s">
        <v>128</v>
      </c>
      <c r="N93" s="4" t="s">
        <v>129</v>
      </c>
      <c r="O93" s="4">
        <v>6</v>
      </c>
      <c r="P93" s="6">
        <v>2264</v>
      </c>
      <c r="Q93" s="7">
        <v>0.18</v>
      </c>
      <c r="R93" s="6">
        <v>11138.88</v>
      </c>
      <c r="S93" s="6">
        <v>7797.22</v>
      </c>
      <c r="T93" s="6">
        <v>3341.66</v>
      </c>
      <c r="U93" s="8">
        <v>0.3</v>
      </c>
      <c r="V93" s="4" t="s">
        <v>105</v>
      </c>
      <c r="W93" s="4" t="s">
        <v>55</v>
      </c>
      <c r="X93" s="4">
        <v>1</v>
      </c>
      <c r="Y93" s="4" t="s">
        <v>42</v>
      </c>
      <c r="AE93" s="15" t="s">
        <v>206</v>
      </c>
      <c r="AF93" s="10">
        <v>455486.6</v>
      </c>
      <c r="AH93" t="str">
        <f t="shared" si="4"/>
        <v>Ahmedabad</v>
      </c>
      <c r="AI93">
        <f t="shared" si="4"/>
        <v>455486.6</v>
      </c>
    </row>
    <row r="94" spans="1:35" x14ac:dyDescent="0.25">
      <c r="A94" s="4" t="s">
        <v>315</v>
      </c>
      <c r="B94" s="5" t="s">
        <v>316</v>
      </c>
      <c r="C94" s="4" t="s">
        <v>153</v>
      </c>
      <c r="D94" s="4" t="s">
        <v>68</v>
      </c>
      <c r="E94" s="4">
        <v>2025</v>
      </c>
      <c r="F94" s="4" t="s">
        <v>45</v>
      </c>
      <c r="G94" s="4" t="s">
        <v>46</v>
      </c>
      <c r="H94" s="4" t="s">
        <v>47</v>
      </c>
      <c r="I94" s="4" t="s">
        <v>48</v>
      </c>
      <c r="J94" s="4" t="s">
        <v>63</v>
      </c>
      <c r="K94" s="4" t="s">
        <v>74</v>
      </c>
      <c r="L94" s="4" t="s">
        <v>51</v>
      </c>
      <c r="M94" s="4" t="s">
        <v>52</v>
      </c>
      <c r="N94" s="4" t="s">
        <v>145</v>
      </c>
      <c r="O94" s="4">
        <v>4</v>
      </c>
      <c r="P94" s="6">
        <v>26184</v>
      </c>
      <c r="Q94" s="7">
        <v>0.06</v>
      </c>
      <c r="R94" s="6">
        <v>98451.839999999997</v>
      </c>
      <c r="S94" s="6">
        <v>80730.509999999995</v>
      </c>
      <c r="T94" s="6">
        <v>17721.330000000002</v>
      </c>
      <c r="U94" s="8">
        <v>0.18</v>
      </c>
      <c r="V94" s="4" t="s">
        <v>67</v>
      </c>
      <c r="W94" s="4" t="s">
        <v>87</v>
      </c>
      <c r="X94" s="4">
        <v>0</v>
      </c>
      <c r="Y94" s="4" t="s">
        <v>42</v>
      </c>
      <c r="AE94" s="15" t="s">
        <v>184</v>
      </c>
      <c r="AF94" s="10">
        <v>1300339.3999999999</v>
      </c>
      <c r="AH94" t="str">
        <f t="shared" si="4"/>
        <v>Surat</v>
      </c>
      <c r="AI94">
        <f t="shared" si="4"/>
        <v>1300339.3999999999</v>
      </c>
    </row>
    <row r="95" spans="1:35" x14ac:dyDescent="0.25">
      <c r="A95" s="4" t="s">
        <v>317</v>
      </c>
      <c r="B95" s="5" t="s">
        <v>259</v>
      </c>
      <c r="C95" s="4" t="s">
        <v>59</v>
      </c>
      <c r="D95" s="4" t="s">
        <v>60</v>
      </c>
      <c r="E95" s="4">
        <v>2025</v>
      </c>
      <c r="F95" s="4" t="s">
        <v>99</v>
      </c>
      <c r="G95" s="4" t="s">
        <v>118</v>
      </c>
      <c r="H95" s="4" t="s">
        <v>119</v>
      </c>
      <c r="I95" s="4" t="s">
        <v>48</v>
      </c>
      <c r="J95" s="4" t="s">
        <v>35</v>
      </c>
      <c r="K95" s="4" t="s">
        <v>120</v>
      </c>
      <c r="L95" s="4" t="s">
        <v>102</v>
      </c>
      <c r="M95" s="4" t="s">
        <v>113</v>
      </c>
      <c r="N95" s="4" t="s">
        <v>114</v>
      </c>
      <c r="O95" s="4">
        <v>11</v>
      </c>
      <c r="P95" s="6">
        <v>337</v>
      </c>
      <c r="Q95" s="7">
        <v>0.08</v>
      </c>
      <c r="R95" s="6">
        <v>3410.44</v>
      </c>
      <c r="S95" s="6">
        <v>2250.89</v>
      </c>
      <c r="T95" s="6">
        <v>1159.55</v>
      </c>
      <c r="U95" s="8">
        <v>0.34</v>
      </c>
      <c r="V95" s="4" t="s">
        <v>67</v>
      </c>
      <c r="W95" s="4" t="s">
        <v>55</v>
      </c>
      <c r="X95" s="4">
        <v>1</v>
      </c>
      <c r="Y95" s="4" t="s">
        <v>123</v>
      </c>
      <c r="AE95" s="9" t="s">
        <v>118</v>
      </c>
      <c r="AF95" s="10">
        <v>186397.5</v>
      </c>
      <c r="AH95" t="str">
        <f t="shared" si="4"/>
        <v>Karnataka</v>
      </c>
      <c r="AI95">
        <f t="shared" si="4"/>
        <v>186397.5</v>
      </c>
    </row>
    <row r="96" spans="1:35" x14ac:dyDescent="0.25">
      <c r="A96" s="4" t="s">
        <v>318</v>
      </c>
      <c r="B96" s="5" t="s">
        <v>201</v>
      </c>
      <c r="C96" s="4" t="s">
        <v>71</v>
      </c>
      <c r="D96" s="4" t="s">
        <v>68</v>
      </c>
      <c r="E96" s="4">
        <v>2025</v>
      </c>
      <c r="F96" s="4" t="s">
        <v>45</v>
      </c>
      <c r="G96" s="4" t="s">
        <v>110</v>
      </c>
      <c r="H96" s="4" t="s">
        <v>160</v>
      </c>
      <c r="I96" s="4" t="s">
        <v>34</v>
      </c>
      <c r="J96" s="4" t="s">
        <v>63</v>
      </c>
      <c r="K96" s="4" t="s">
        <v>64</v>
      </c>
      <c r="L96" s="4" t="s">
        <v>75</v>
      </c>
      <c r="M96" s="4" t="s">
        <v>76</v>
      </c>
      <c r="N96" s="4" t="s">
        <v>77</v>
      </c>
      <c r="O96" s="4">
        <v>3</v>
      </c>
      <c r="P96" s="6">
        <v>10861</v>
      </c>
      <c r="Q96" s="7">
        <v>0.08</v>
      </c>
      <c r="R96" s="6">
        <v>29976.36</v>
      </c>
      <c r="S96" s="6">
        <v>21283.22</v>
      </c>
      <c r="T96" s="6">
        <v>8693.14</v>
      </c>
      <c r="U96" s="8">
        <v>0.28999999999999998</v>
      </c>
      <c r="V96" s="4" t="s">
        <v>40</v>
      </c>
      <c r="W96" s="4" t="s">
        <v>41</v>
      </c>
      <c r="X96" s="4">
        <v>5</v>
      </c>
      <c r="Y96" s="4" t="s">
        <v>123</v>
      </c>
      <c r="AE96" s="15" t="s">
        <v>119</v>
      </c>
      <c r="AF96" s="10">
        <v>94772.569999999992</v>
      </c>
      <c r="AH96" t="str">
        <f t="shared" si="4"/>
        <v>Bengaluru</v>
      </c>
      <c r="AI96">
        <f t="shared" si="4"/>
        <v>94772.569999999992</v>
      </c>
    </row>
    <row r="97" spans="1:35" x14ac:dyDescent="0.25">
      <c r="A97" s="4" t="s">
        <v>319</v>
      </c>
      <c r="B97" s="5" t="s">
        <v>320</v>
      </c>
      <c r="C97" s="4" t="s">
        <v>153</v>
      </c>
      <c r="D97" s="4" t="s">
        <v>68</v>
      </c>
      <c r="E97" s="4">
        <v>2025</v>
      </c>
      <c r="F97" s="4" t="s">
        <v>91</v>
      </c>
      <c r="G97" s="4" t="s">
        <v>183</v>
      </c>
      <c r="H97" s="4" t="s">
        <v>206</v>
      </c>
      <c r="I97" s="4" t="s">
        <v>94</v>
      </c>
      <c r="J97" s="4" t="s">
        <v>35</v>
      </c>
      <c r="K97" s="4" t="s">
        <v>120</v>
      </c>
      <c r="L97" s="4" t="s">
        <v>75</v>
      </c>
      <c r="M97" s="4" t="s">
        <v>76</v>
      </c>
      <c r="N97" s="4" t="s">
        <v>77</v>
      </c>
      <c r="O97" s="4">
        <v>1</v>
      </c>
      <c r="P97" s="6">
        <v>7318</v>
      </c>
      <c r="Q97" s="7">
        <v>7.0000000000000007E-2</v>
      </c>
      <c r="R97" s="6">
        <v>6805.74</v>
      </c>
      <c r="S97" s="6">
        <v>4832.08</v>
      </c>
      <c r="T97" s="6">
        <v>1973.66</v>
      </c>
      <c r="U97" s="8">
        <v>0.28999999999999998</v>
      </c>
      <c r="V97" s="4" t="s">
        <v>105</v>
      </c>
      <c r="W97" s="4" t="s">
        <v>87</v>
      </c>
      <c r="X97" s="4">
        <v>0</v>
      </c>
      <c r="Y97" s="4" t="s">
        <v>106</v>
      </c>
      <c r="AE97" s="15" t="s">
        <v>196</v>
      </c>
      <c r="AF97" s="10">
        <v>91624.930000000008</v>
      </c>
      <c r="AH97" t="str">
        <f t="shared" si="4"/>
        <v>Mysuru</v>
      </c>
      <c r="AI97">
        <f t="shared" si="4"/>
        <v>91624.930000000008</v>
      </c>
    </row>
    <row r="98" spans="1:35" x14ac:dyDescent="0.25">
      <c r="A98" s="4" t="s">
        <v>321</v>
      </c>
      <c r="B98" s="5" t="s">
        <v>314</v>
      </c>
      <c r="C98" s="4" t="s">
        <v>209</v>
      </c>
      <c r="D98" s="4" t="s">
        <v>68</v>
      </c>
      <c r="E98" s="4">
        <v>2025</v>
      </c>
      <c r="F98" s="4" t="s">
        <v>45</v>
      </c>
      <c r="G98" s="4" t="s">
        <v>167</v>
      </c>
      <c r="H98" s="4" t="s">
        <v>168</v>
      </c>
      <c r="I98" s="4" t="s">
        <v>48</v>
      </c>
      <c r="J98" s="4" t="s">
        <v>63</v>
      </c>
      <c r="K98" s="4" t="s">
        <v>86</v>
      </c>
      <c r="L98" s="4" t="s">
        <v>37</v>
      </c>
      <c r="M98" s="4" t="s">
        <v>38</v>
      </c>
      <c r="N98" s="4" t="s">
        <v>39</v>
      </c>
      <c r="O98" s="4">
        <v>8</v>
      </c>
      <c r="P98" s="6">
        <v>1888</v>
      </c>
      <c r="Q98" s="7">
        <v>0.05</v>
      </c>
      <c r="R98" s="6">
        <v>14348.8</v>
      </c>
      <c r="S98" s="6">
        <v>8178.82</v>
      </c>
      <c r="T98" s="6">
        <v>6169.98</v>
      </c>
      <c r="U98" s="8">
        <v>0.43</v>
      </c>
      <c r="V98" s="4" t="s">
        <v>105</v>
      </c>
      <c r="W98" s="4" t="s">
        <v>55</v>
      </c>
      <c r="X98" s="4">
        <v>1</v>
      </c>
      <c r="Y98" s="4" t="s">
        <v>42</v>
      </c>
      <c r="AE98" s="9" t="s">
        <v>214</v>
      </c>
      <c r="AF98" s="10">
        <v>119709.65999999999</v>
      </c>
      <c r="AH98" t="str">
        <f t="shared" si="4"/>
        <v>Kerala</v>
      </c>
      <c r="AI98">
        <f t="shared" si="4"/>
        <v>119709.65999999999</v>
      </c>
    </row>
    <row r="99" spans="1:35" x14ac:dyDescent="0.25">
      <c r="A99" s="4" t="s">
        <v>322</v>
      </c>
      <c r="B99" s="5" t="s">
        <v>323</v>
      </c>
      <c r="C99" s="4" t="s">
        <v>159</v>
      </c>
      <c r="D99" s="4" t="s">
        <v>56</v>
      </c>
      <c r="E99" s="4">
        <v>2025</v>
      </c>
      <c r="F99" s="4" t="s">
        <v>45</v>
      </c>
      <c r="G99" s="4" t="s">
        <v>167</v>
      </c>
      <c r="H99" s="4" t="s">
        <v>324</v>
      </c>
      <c r="I99" s="4" t="s">
        <v>94</v>
      </c>
      <c r="J99" s="4" t="s">
        <v>35</v>
      </c>
      <c r="K99" s="4" t="s">
        <v>50</v>
      </c>
      <c r="L99" s="4" t="s">
        <v>51</v>
      </c>
      <c r="M99" s="4" t="s">
        <v>65</v>
      </c>
      <c r="N99" s="4" t="s">
        <v>66</v>
      </c>
      <c r="O99" s="4">
        <v>2</v>
      </c>
      <c r="P99" s="6">
        <v>53044</v>
      </c>
      <c r="Q99" s="7">
        <v>0.1</v>
      </c>
      <c r="R99" s="6">
        <v>95479.2</v>
      </c>
      <c r="S99" s="6">
        <v>81157.320000000007</v>
      </c>
      <c r="T99" s="6">
        <v>14321.88</v>
      </c>
      <c r="U99" s="8">
        <v>0.15</v>
      </c>
      <c r="V99" s="4" t="s">
        <v>54</v>
      </c>
      <c r="W99" s="4" t="s">
        <v>55</v>
      </c>
      <c r="X99" s="4">
        <v>1</v>
      </c>
      <c r="Y99" s="4" t="s">
        <v>42</v>
      </c>
      <c r="AE99" s="15" t="s">
        <v>325</v>
      </c>
      <c r="AF99" s="10">
        <v>41149.86</v>
      </c>
      <c r="AH99" t="str">
        <f t="shared" si="4"/>
        <v>Kochi</v>
      </c>
      <c r="AI99">
        <f t="shared" si="4"/>
        <v>41149.86</v>
      </c>
    </row>
    <row r="100" spans="1:35" x14ac:dyDescent="0.25">
      <c r="A100" s="4" t="s">
        <v>326</v>
      </c>
      <c r="B100" s="5" t="s">
        <v>327</v>
      </c>
      <c r="C100" s="4" t="s">
        <v>29</v>
      </c>
      <c r="D100" s="4" t="s">
        <v>30</v>
      </c>
      <c r="E100" s="4">
        <v>2025</v>
      </c>
      <c r="F100" s="4" t="s">
        <v>91</v>
      </c>
      <c r="G100" s="4" t="s">
        <v>148</v>
      </c>
      <c r="H100" s="4" t="s">
        <v>149</v>
      </c>
      <c r="I100" s="4" t="s">
        <v>94</v>
      </c>
      <c r="J100" s="4" t="s">
        <v>63</v>
      </c>
      <c r="K100" s="4" t="s">
        <v>36</v>
      </c>
      <c r="L100" s="4" t="s">
        <v>51</v>
      </c>
      <c r="M100" s="4" t="s">
        <v>52</v>
      </c>
      <c r="N100" s="4" t="s">
        <v>145</v>
      </c>
      <c r="O100" s="4">
        <v>1</v>
      </c>
      <c r="P100" s="6">
        <v>25563</v>
      </c>
      <c r="Q100" s="7">
        <v>0.08</v>
      </c>
      <c r="R100" s="6">
        <v>23517.96</v>
      </c>
      <c r="S100" s="6">
        <v>19284.73</v>
      </c>
      <c r="T100" s="6">
        <v>4233.2299999999996</v>
      </c>
      <c r="U100" s="8">
        <v>0.18</v>
      </c>
      <c r="V100" s="4" t="s">
        <v>78</v>
      </c>
      <c r="W100" s="4" t="s">
        <v>55</v>
      </c>
      <c r="X100" s="4">
        <v>1</v>
      </c>
      <c r="Y100" s="4" t="s">
        <v>123</v>
      </c>
      <c r="AE100" s="15" t="s">
        <v>215</v>
      </c>
      <c r="AF100" s="10">
        <v>78559.799999999988</v>
      </c>
      <c r="AH100" t="str">
        <f t="shared" si="4"/>
        <v>Thiruvananthapuram</v>
      </c>
      <c r="AI100">
        <f t="shared" si="4"/>
        <v>78559.799999999988</v>
      </c>
    </row>
    <row r="101" spans="1:35" x14ac:dyDescent="0.25">
      <c r="A101" s="4" t="s">
        <v>328</v>
      </c>
      <c r="B101" s="5" t="s">
        <v>147</v>
      </c>
      <c r="C101" s="4" t="s">
        <v>85</v>
      </c>
      <c r="D101" s="4" t="s">
        <v>30</v>
      </c>
      <c r="E101" s="4">
        <v>2025</v>
      </c>
      <c r="F101" s="4" t="s">
        <v>99</v>
      </c>
      <c r="G101" s="4" t="s">
        <v>100</v>
      </c>
      <c r="H101" s="4" t="s">
        <v>101</v>
      </c>
      <c r="I101" s="4" t="s">
        <v>48</v>
      </c>
      <c r="J101" s="4" t="s">
        <v>63</v>
      </c>
      <c r="K101" s="4" t="s">
        <v>36</v>
      </c>
      <c r="L101" s="4" t="s">
        <v>51</v>
      </c>
      <c r="M101" s="4" t="s">
        <v>65</v>
      </c>
      <c r="N101" s="4" t="s">
        <v>66</v>
      </c>
      <c r="O101" s="4">
        <v>3</v>
      </c>
      <c r="P101" s="6">
        <v>60823</v>
      </c>
      <c r="Q101" s="7">
        <v>0</v>
      </c>
      <c r="R101" s="6">
        <v>182469</v>
      </c>
      <c r="S101" s="6">
        <v>155098.65</v>
      </c>
      <c r="T101" s="6">
        <v>27370.35</v>
      </c>
      <c r="U101" s="8">
        <v>0.15</v>
      </c>
      <c r="V101" s="4" t="s">
        <v>54</v>
      </c>
      <c r="W101" s="4" t="s">
        <v>55</v>
      </c>
      <c r="X101" s="4">
        <v>2</v>
      </c>
      <c r="Y101" s="4" t="s">
        <v>88</v>
      </c>
      <c r="AE101" s="9" t="s">
        <v>92</v>
      </c>
      <c r="AF101" s="10">
        <v>1077433.6200000001</v>
      </c>
      <c r="AH101" t="str">
        <f t="shared" si="4"/>
        <v>Maharashtra</v>
      </c>
      <c r="AI101">
        <f t="shared" si="4"/>
        <v>1077433.6200000001</v>
      </c>
    </row>
    <row r="102" spans="1:35" x14ac:dyDescent="0.25">
      <c r="A102" s="4" t="s">
        <v>329</v>
      </c>
      <c r="B102" s="5" t="s">
        <v>330</v>
      </c>
      <c r="C102" s="4" t="s">
        <v>109</v>
      </c>
      <c r="D102" s="4" t="s">
        <v>60</v>
      </c>
      <c r="E102" s="4">
        <v>2025</v>
      </c>
      <c r="F102" s="4" t="s">
        <v>45</v>
      </c>
      <c r="G102" s="4" t="s">
        <v>110</v>
      </c>
      <c r="H102" s="4" t="s">
        <v>160</v>
      </c>
      <c r="I102" s="4" t="s">
        <v>34</v>
      </c>
      <c r="J102" s="4" t="s">
        <v>63</v>
      </c>
      <c r="K102" s="4" t="s">
        <v>86</v>
      </c>
      <c r="L102" s="4" t="s">
        <v>51</v>
      </c>
      <c r="M102" s="4" t="s">
        <v>128</v>
      </c>
      <c r="N102" s="4" t="s">
        <v>129</v>
      </c>
      <c r="O102" s="4">
        <v>3</v>
      </c>
      <c r="P102" s="6">
        <v>3003</v>
      </c>
      <c r="Q102" s="7">
        <v>0.11</v>
      </c>
      <c r="R102" s="6">
        <v>8018.01</v>
      </c>
      <c r="S102" s="6">
        <v>5612.61</v>
      </c>
      <c r="T102" s="6">
        <v>2405.4</v>
      </c>
      <c r="U102" s="8">
        <v>0.3</v>
      </c>
      <c r="V102" s="4" t="s">
        <v>54</v>
      </c>
      <c r="W102" s="4" t="s">
        <v>55</v>
      </c>
      <c r="X102" s="4">
        <v>3</v>
      </c>
      <c r="Y102" s="4" t="s">
        <v>42</v>
      </c>
      <c r="AE102" s="15" t="s">
        <v>143</v>
      </c>
      <c r="AF102" s="10">
        <v>277135.56</v>
      </c>
      <c r="AH102" t="str">
        <f t="shared" si="4"/>
        <v>Mumbai</v>
      </c>
      <c r="AI102">
        <f t="shared" si="4"/>
        <v>277135.56</v>
      </c>
    </row>
    <row r="103" spans="1:35" x14ac:dyDescent="0.25">
      <c r="A103" s="4" t="s">
        <v>331</v>
      </c>
      <c r="B103" s="5" t="s">
        <v>332</v>
      </c>
      <c r="C103" s="4" t="s">
        <v>117</v>
      </c>
      <c r="D103" s="4" t="s">
        <v>56</v>
      </c>
      <c r="E103" s="4">
        <v>2025</v>
      </c>
      <c r="F103" s="4" t="s">
        <v>99</v>
      </c>
      <c r="G103" s="4" t="s">
        <v>100</v>
      </c>
      <c r="H103" s="4" t="s">
        <v>101</v>
      </c>
      <c r="I103" s="4" t="s">
        <v>94</v>
      </c>
      <c r="J103" s="4" t="s">
        <v>63</v>
      </c>
      <c r="K103" s="4" t="s">
        <v>50</v>
      </c>
      <c r="L103" s="4" t="s">
        <v>75</v>
      </c>
      <c r="M103" s="4" t="s">
        <v>121</v>
      </c>
      <c r="N103" s="4" t="s">
        <v>137</v>
      </c>
      <c r="O103" s="4">
        <v>2</v>
      </c>
      <c r="P103" s="6">
        <v>13170</v>
      </c>
      <c r="Q103" s="7">
        <v>0.09</v>
      </c>
      <c r="R103" s="6">
        <v>23969.4</v>
      </c>
      <c r="S103" s="6">
        <v>17737.36</v>
      </c>
      <c r="T103" s="6">
        <v>6232.04</v>
      </c>
      <c r="U103" s="8">
        <v>0.26</v>
      </c>
      <c r="V103" s="4" t="s">
        <v>67</v>
      </c>
      <c r="W103" s="4" t="s">
        <v>55</v>
      </c>
      <c r="X103" s="4">
        <v>2</v>
      </c>
      <c r="Y103" s="4" t="s">
        <v>123</v>
      </c>
      <c r="AE103" s="15" t="s">
        <v>180</v>
      </c>
      <c r="AF103" s="10">
        <v>640599.23</v>
      </c>
      <c r="AH103" t="str">
        <f t="shared" si="4"/>
        <v>Nagpur</v>
      </c>
      <c r="AI103">
        <f t="shared" si="4"/>
        <v>640599.23</v>
      </c>
    </row>
    <row r="104" spans="1:35" x14ac:dyDescent="0.25">
      <c r="A104" s="4" t="s">
        <v>333</v>
      </c>
      <c r="B104" s="5" t="s">
        <v>334</v>
      </c>
      <c r="C104" s="4" t="s">
        <v>192</v>
      </c>
      <c r="D104" s="4" t="s">
        <v>30</v>
      </c>
      <c r="E104" s="4">
        <v>2025</v>
      </c>
      <c r="F104" s="4" t="s">
        <v>31</v>
      </c>
      <c r="G104" s="4" t="s">
        <v>32</v>
      </c>
      <c r="H104" s="4" t="s">
        <v>127</v>
      </c>
      <c r="I104" s="4" t="s">
        <v>34</v>
      </c>
      <c r="J104" s="4" t="s">
        <v>63</v>
      </c>
      <c r="K104" s="4" t="s">
        <v>132</v>
      </c>
      <c r="L104" s="4" t="s">
        <v>51</v>
      </c>
      <c r="M104" s="4" t="s">
        <v>65</v>
      </c>
      <c r="N104" s="4" t="s">
        <v>247</v>
      </c>
      <c r="O104" s="4">
        <v>6</v>
      </c>
      <c r="P104" s="6">
        <v>55984</v>
      </c>
      <c r="Q104" s="7">
        <v>0.14000000000000001</v>
      </c>
      <c r="R104" s="6">
        <v>288877.44</v>
      </c>
      <c r="S104" s="6">
        <v>242657.05</v>
      </c>
      <c r="T104" s="6">
        <v>46220.39</v>
      </c>
      <c r="U104" s="8">
        <v>0.16</v>
      </c>
      <c r="V104" s="4" t="s">
        <v>78</v>
      </c>
      <c r="W104" s="4" t="s">
        <v>41</v>
      </c>
      <c r="X104" s="4">
        <v>4</v>
      </c>
      <c r="Y104" s="4" t="s">
        <v>42</v>
      </c>
      <c r="AE104" s="15" t="s">
        <v>93</v>
      </c>
      <c r="AF104" s="10">
        <v>159698.83000000002</v>
      </c>
      <c r="AH104" t="str">
        <f t="shared" si="4"/>
        <v>Pune</v>
      </c>
      <c r="AI104">
        <f t="shared" si="4"/>
        <v>159698.83000000002</v>
      </c>
    </row>
    <row r="105" spans="1:35" x14ac:dyDescent="0.25">
      <c r="A105" s="4" t="s">
        <v>335</v>
      </c>
      <c r="B105" s="5" t="s">
        <v>336</v>
      </c>
      <c r="C105" s="4" t="s">
        <v>85</v>
      </c>
      <c r="D105" s="4" t="s">
        <v>30</v>
      </c>
      <c r="E105" s="4">
        <v>2025</v>
      </c>
      <c r="F105" s="4" t="s">
        <v>45</v>
      </c>
      <c r="G105" s="4" t="s">
        <v>167</v>
      </c>
      <c r="H105" s="4" t="s">
        <v>337</v>
      </c>
      <c r="I105" s="4" t="s">
        <v>94</v>
      </c>
      <c r="J105" s="4" t="s">
        <v>35</v>
      </c>
      <c r="K105" s="4" t="s">
        <v>132</v>
      </c>
      <c r="L105" s="4" t="s">
        <v>75</v>
      </c>
      <c r="M105" s="4" t="s">
        <v>121</v>
      </c>
      <c r="N105" s="4" t="s">
        <v>122</v>
      </c>
      <c r="O105" s="4">
        <v>3</v>
      </c>
      <c r="P105" s="6">
        <v>7848</v>
      </c>
      <c r="Q105" s="7">
        <v>0.15</v>
      </c>
      <c r="R105" s="6">
        <v>20012.400000000001</v>
      </c>
      <c r="S105" s="6">
        <v>14408.93</v>
      </c>
      <c r="T105" s="6">
        <v>5603.47</v>
      </c>
      <c r="U105" s="8">
        <v>0.28000000000000003</v>
      </c>
      <c r="V105" s="4" t="s">
        <v>40</v>
      </c>
      <c r="W105" s="4" t="s">
        <v>55</v>
      </c>
      <c r="X105" s="4">
        <v>3</v>
      </c>
      <c r="Y105" s="4" t="s">
        <v>42</v>
      </c>
      <c r="AE105" s="9" t="s">
        <v>32</v>
      </c>
      <c r="AF105" s="10">
        <v>1193271.76</v>
      </c>
      <c r="AH105" t="str">
        <f t="shared" si="4"/>
        <v>Odisha</v>
      </c>
      <c r="AI105">
        <f t="shared" si="4"/>
        <v>1193271.76</v>
      </c>
    </row>
    <row r="106" spans="1:35" x14ac:dyDescent="0.25">
      <c r="A106" s="4" t="s">
        <v>338</v>
      </c>
      <c r="B106" s="5" t="s">
        <v>339</v>
      </c>
      <c r="C106" s="4" t="s">
        <v>153</v>
      </c>
      <c r="D106" s="4" t="s">
        <v>68</v>
      </c>
      <c r="E106" s="4">
        <v>2025</v>
      </c>
      <c r="F106" s="4" t="s">
        <v>91</v>
      </c>
      <c r="G106" s="4" t="s">
        <v>92</v>
      </c>
      <c r="H106" s="4" t="s">
        <v>180</v>
      </c>
      <c r="I106" s="4" t="s">
        <v>34</v>
      </c>
      <c r="J106" s="4" t="s">
        <v>49</v>
      </c>
      <c r="K106" s="4" t="s">
        <v>86</v>
      </c>
      <c r="L106" s="4" t="s">
        <v>51</v>
      </c>
      <c r="M106" s="4" t="s">
        <v>52</v>
      </c>
      <c r="N106" s="4" t="s">
        <v>145</v>
      </c>
      <c r="O106" s="4">
        <v>3</v>
      </c>
      <c r="P106" s="6">
        <v>29425</v>
      </c>
      <c r="Q106" s="7">
        <v>0.08</v>
      </c>
      <c r="R106" s="6">
        <v>81213</v>
      </c>
      <c r="S106" s="6">
        <v>66594.66</v>
      </c>
      <c r="T106" s="6">
        <v>14618.34</v>
      </c>
      <c r="U106" s="8">
        <v>0.18</v>
      </c>
      <c r="V106" s="4" t="s">
        <v>40</v>
      </c>
      <c r="W106" s="4" t="s">
        <v>87</v>
      </c>
      <c r="X106" s="4">
        <v>0</v>
      </c>
      <c r="Y106" s="4" t="s">
        <v>42</v>
      </c>
      <c r="AE106" s="15" t="s">
        <v>33</v>
      </c>
      <c r="AF106" s="10">
        <v>865955.83</v>
      </c>
      <c r="AH106" t="str">
        <f t="shared" si="4"/>
        <v>Bhubaneswar</v>
      </c>
      <c r="AI106">
        <f t="shared" si="4"/>
        <v>865955.83</v>
      </c>
    </row>
    <row r="107" spans="1:35" x14ac:dyDescent="0.25">
      <c r="A107" s="4" t="s">
        <v>340</v>
      </c>
      <c r="B107" s="5" t="s">
        <v>314</v>
      </c>
      <c r="C107" s="4" t="s">
        <v>209</v>
      </c>
      <c r="D107" s="4" t="s">
        <v>68</v>
      </c>
      <c r="E107" s="4">
        <v>2025</v>
      </c>
      <c r="F107" s="4" t="s">
        <v>91</v>
      </c>
      <c r="G107" s="4" t="s">
        <v>148</v>
      </c>
      <c r="H107" s="4" t="s">
        <v>149</v>
      </c>
      <c r="I107" s="4" t="s">
        <v>94</v>
      </c>
      <c r="J107" s="4" t="s">
        <v>49</v>
      </c>
      <c r="K107" s="4" t="s">
        <v>132</v>
      </c>
      <c r="L107" s="4" t="s">
        <v>51</v>
      </c>
      <c r="M107" s="4" t="s">
        <v>128</v>
      </c>
      <c r="N107" s="4" t="s">
        <v>129</v>
      </c>
      <c r="O107" s="4">
        <v>1</v>
      </c>
      <c r="P107" s="6">
        <v>4003</v>
      </c>
      <c r="Q107" s="7">
        <v>0.15</v>
      </c>
      <c r="R107" s="6">
        <v>3402.55</v>
      </c>
      <c r="S107" s="6">
        <v>2381.79</v>
      </c>
      <c r="T107" s="6">
        <v>1020.76</v>
      </c>
      <c r="U107" s="8">
        <v>0.3</v>
      </c>
      <c r="V107" s="4" t="s">
        <v>105</v>
      </c>
      <c r="W107" s="4" t="s">
        <v>41</v>
      </c>
      <c r="X107" s="4">
        <v>4</v>
      </c>
      <c r="Y107" s="4" t="s">
        <v>88</v>
      </c>
      <c r="AE107" s="15" t="s">
        <v>127</v>
      </c>
      <c r="AF107" s="10">
        <v>327315.93000000005</v>
      </c>
      <c r="AH107" t="str">
        <f t="shared" si="4"/>
        <v>Cuttack</v>
      </c>
      <c r="AI107">
        <f t="shared" si="4"/>
        <v>327315.93000000005</v>
      </c>
    </row>
    <row r="108" spans="1:35" x14ac:dyDescent="0.25">
      <c r="A108" s="4" t="s">
        <v>341</v>
      </c>
      <c r="B108" s="5" t="s">
        <v>295</v>
      </c>
      <c r="C108" s="4" t="s">
        <v>136</v>
      </c>
      <c r="D108" s="4" t="s">
        <v>60</v>
      </c>
      <c r="E108" s="4">
        <v>2025</v>
      </c>
      <c r="F108" s="4" t="s">
        <v>31</v>
      </c>
      <c r="G108" s="4" t="s">
        <v>32</v>
      </c>
      <c r="H108" s="4" t="s">
        <v>33</v>
      </c>
      <c r="I108" s="4" t="s">
        <v>94</v>
      </c>
      <c r="J108" s="4" t="s">
        <v>35</v>
      </c>
      <c r="K108" s="4" t="s">
        <v>36</v>
      </c>
      <c r="L108" s="4" t="s">
        <v>51</v>
      </c>
      <c r="M108" s="4" t="s">
        <v>52</v>
      </c>
      <c r="N108" s="4" t="s">
        <v>53</v>
      </c>
      <c r="O108" s="4">
        <v>3</v>
      </c>
      <c r="P108" s="6">
        <v>71049</v>
      </c>
      <c r="Q108" s="7">
        <v>0.13</v>
      </c>
      <c r="R108" s="6">
        <v>185437.89</v>
      </c>
      <c r="S108" s="6">
        <v>163185.34</v>
      </c>
      <c r="T108" s="6">
        <v>22252.55</v>
      </c>
      <c r="U108" s="8">
        <v>0.12</v>
      </c>
      <c r="V108" s="4" t="s">
        <v>40</v>
      </c>
      <c r="W108" s="4" t="s">
        <v>55</v>
      </c>
      <c r="X108" s="4">
        <v>2</v>
      </c>
      <c r="Y108" s="4" t="s">
        <v>123</v>
      </c>
      <c r="AE108" s="9" t="s">
        <v>110</v>
      </c>
      <c r="AF108" s="10">
        <v>946500.94</v>
      </c>
      <c r="AH108" t="str">
        <f t="shared" si="4"/>
        <v>Punjab</v>
      </c>
      <c r="AI108">
        <f t="shared" si="4"/>
        <v>946500.94</v>
      </c>
    </row>
    <row r="109" spans="1:35" x14ac:dyDescent="0.25">
      <c r="A109" s="4" t="s">
        <v>342</v>
      </c>
      <c r="B109" s="5" t="s">
        <v>343</v>
      </c>
      <c r="C109" s="4" t="s">
        <v>117</v>
      </c>
      <c r="D109" s="4" t="s">
        <v>56</v>
      </c>
      <c r="E109" s="4">
        <v>2025</v>
      </c>
      <c r="F109" s="4" t="s">
        <v>45</v>
      </c>
      <c r="G109" s="4" t="s">
        <v>46</v>
      </c>
      <c r="H109" s="4" t="s">
        <v>47</v>
      </c>
      <c r="I109" s="4" t="s">
        <v>48</v>
      </c>
      <c r="J109" s="4" t="s">
        <v>49</v>
      </c>
      <c r="K109" s="4" t="s">
        <v>144</v>
      </c>
      <c r="L109" s="4" t="s">
        <v>102</v>
      </c>
      <c r="M109" s="4" t="s">
        <v>113</v>
      </c>
      <c r="N109" s="4" t="s">
        <v>133</v>
      </c>
      <c r="O109" s="4">
        <v>5</v>
      </c>
      <c r="P109" s="6">
        <v>511</v>
      </c>
      <c r="Q109" s="7">
        <v>0.05</v>
      </c>
      <c r="R109" s="6">
        <v>2427.25</v>
      </c>
      <c r="S109" s="6">
        <v>1626.26</v>
      </c>
      <c r="T109" s="6">
        <v>800.99</v>
      </c>
      <c r="U109" s="8">
        <v>0.33</v>
      </c>
      <c r="V109" s="4" t="s">
        <v>40</v>
      </c>
      <c r="W109" s="4" t="s">
        <v>87</v>
      </c>
      <c r="X109" s="4">
        <v>0</v>
      </c>
      <c r="Y109" s="4" t="s">
        <v>88</v>
      </c>
      <c r="AE109" s="15" t="s">
        <v>160</v>
      </c>
      <c r="AF109" s="10">
        <v>421776.24999999994</v>
      </c>
      <c r="AH109" t="str">
        <f t="shared" si="4"/>
        <v>Amritsar</v>
      </c>
      <c r="AI109">
        <f t="shared" si="4"/>
        <v>421776.24999999994</v>
      </c>
    </row>
    <row r="110" spans="1:35" x14ac:dyDescent="0.25">
      <c r="A110" s="4" t="s">
        <v>344</v>
      </c>
      <c r="B110" s="5" t="s">
        <v>345</v>
      </c>
      <c r="C110" s="4" t="s">
        <v>153</v>
      </c>
      <c r="D110" s="4" t="s">
        <v>68</v>
      </c>
      <c r="E110" s="4">
        <v>2025</v>
      </c>
      <c r="F110" s="4" t="s">
        <v>45</v>
      </c>
      <c r="G110" s="4" t="s">
        <v>72</v>
      </c>
      <c r="H110" s="4" t="s">
        <v>73</v>
      </c>
      <c r="I110" s="4" t="s">
        <v>48</v>
      </c>
      <c r="J110" s="4" t="s">
        <v>35</v>
      </c>
      <c r="K110" s="4" t="s">
        <v>36</v>
      </c>
      <c r="L110" s="4" t="s">
        <v>51</v>
      </c>
      <c r="M110" s="4" t="s">
        <v>65</v>
      </c>
      <c r="N110" s="4" t="s">
        <v>247</v>
      </c>
      <c r="O110" s="4">
        <v>2</v>
      </c>
      <c r="P110" s="6">
        <v>60537</v>
      </c>
      <c r="Q110" s="7">
        <v>0.02</v>
      </c>
      <c r="R110" s="6">
        <v>118652.52</v>
      </c>
      <c r="S110" s="6">
        <v>99668.12</v>
      </c>
      <c r="T110" s="6">
        <v>18984.400000000001</v>
      </c>
      <c r="U110" s="8">
        <v>0.16</v>
      </c>
      <c r="V110" s="4" t="s">
        <v>67</v>
      </c>
      <c r="W110" s="4" t="s">
        <v>41</v>
      </c>
      <c r="X110" s="4">
        <v>6</v>
      </c>
      <c r="Y110" s="4" t="s">
        <v>123</v>
      </c>
      <c r="AE110" s="15" t="s">
        <v>111</v>
      </c>
      <c r="AF110" s="10">
        <v>524724.68999999994</v>
      </c>
      <c r="AH110" t="str">
        <f t="shared" si="4"/>
        <v>Ludhiana</v>
      </c>
      <c r="AI110">
        <f t="shared" si="4"/>
        <v>524724.68999999994</v>
      </c>
    </row>
    <row r="111" spans="1:35" x14ac:dyDescent="0.25">
      <c r="A111" s="4" t="s">
        <v>346</v>
      </c>
      <c r="B111" s="5" t="s">
        <v>147</v>
      </c>
      <c r="C111" s="4" t="s">
        <v>85</v>
      </c>
      <c r="D111" s="4" t="s">
        <v>30</v>
      </c>
      <c r="E111" s="4">
        <v>2025</v>
      </c>
      <c r="F111" s="4" t="s">
        <v>31</v>
      </c>
      <c r="G111" s="4" t="s">
        <v>188</v>
      </c>
      <c r="H111" s="4" t="s">
        <v>189</v>
      </c>
      <c r="I111" s="4" t="s">
        <v>94</v>
      </c>
      <c r="J111" s="4" t="s">
        <v>63</v>
      </c>
      <c r="K111" s="4" t="s">
        <v>120</v>
      </c>
      <c r="L111" s="4" t="s">
        <v>51</v>
      </c>
      <c r="M111" s="4" t="s">
        <v>65</v>
      </c>
      <c r="N111" s="4" t="s">
        <v>247</v>
      </c>
      <c r="O111" s="4">
        <v>2</v>
      </c>
      <c r="P111" s="6">
        <v>53255</v>
      </c>
      <c r="Q111" s="7">
        <v>0.15</v>
      </c>
      <c r="R111" s="6">
        <v>90533.5</v>
      </c>
      <c r="S111" s="6">
        <v>76048.14</v>
      </c>
      <c r="T111" s="6">
        <v>14485.36</v>
      </c>
      <c r="U111" s="8">
        <v>0.16</v>
      </c>
      <c r="V111" s="4" t="s">
        <v>105</v>
      </c>
      <c r="W111" s="4" t="s">
        <v>41</v>
      </c>
      <c r="X111" s="4">
        <v>5</v>
      </c>
      <c r="Y111" s="4" t="s">
        <v>123</v>
      </c>
      <c r="AE111" s="9" t="s">
        <v>46</v>
      </c>
      <c r="AF111" s="10">
        <v>2217038.65</v>
      </c>
      <c r="AH111" t="str">
        <f t="shared" si="4"/>
        <v>Rajasthan</v>
      </c>
      <c r="AI111">
        <f t="shared" si="4"/>
        <v>2217038.65</v>
      </c>
    </row>
    <row r="112" spans="1:35" x14ac:dyDescent="0.25">
      <c r="A112" s="4" t="s">
        <v>347</v>
      </c>
      <c r="B112" s="5" t="s">
        <v>348</v>
      </c>
      <c r="C112" s="4" t="s">
        <v>71</v>
      </c>
      <c r="D112" s="4" t="s">
        <v>68</v>
      </c>
      <c r="E112" s="4">
        <v>2025</v>
      </c>
      <c r="F112" s="4" t="s">
        <v>45</v>
      </c>
      <c r="G112" s="4" t="s">
        <v>167</v>
      </c>
      <c r="H112" s="4" t="s">
        <v>337</v>
      </c>
      <c r="I112" s="4" t="s">
        <v>94</v>
      </c>
      <c r="J112" s="4" t="s">
        <v>35</v>
      </c>
      <c r="K112" s="4" t="s">
        <v>144</v>
      </c>
      <c r="L112" s="4" t="s">
        <v>102</v>
      </c>
      <c r="M112" s="4" t="s">
        <v>113</v>
      </c>
      <c r="N112" s="4" t="s">
        <v>133</v>
      </c>
      <c r="O112" s="4">
        <v>12</v>
      </c>
      <c r="P112" s="6">
        <v>540</v>
      </c>
      <c r="Q112" s="7">
        <v>0.05</v>
      </c>
      <c r="R112" s="6">
        <v>6156</v>
      </c>
      <c r="S112" s="6">
        <v>4124.5200000000004</v>
      </c>
      <c r="T112" s="6">
        <v>2031.48</v>
      </c>
      <c r="U112" s="8">
        <v>0.33</v>
      </c>
      <c r="V112" s="4" t="s">
        <v>78</v>
      </c>
      <c r="W112" s="4" t="s">
        <v>55</v>
      </c>
      <c r="X112" s="4">
        <v>1</v>
      </c>
      <c r="Y112" s="4" t="s">
        <v>123</v>
      </c>
      <c r="AE112" s="15" t="s">
        <v>244</v>
      </c>
      <c r="AF112" s="10">
        <v>538555.89</v>
      </c>
      <c r="AH112" t="str">
        <f t="shared" si="4"/>
        <v>Jaipur</v>
      </c>
      <c r="AI112">
        <f t="shared" si="4"/>
        <v>538555.89</v>
      </c>
    </row>
    <row r="113" spans="1:35" x14ac:dyDescent="0.25">
      <c r="A113" s="4" t="s">
        <v>349</v>
      </c>
      <c r="B113" s="5" t="s">
        <v>44</v>
      </c>
      <c r="C113" s="4" t="s">
        <v>29</v>
      </c>
      <c r="D113" s="4" t="s">
        <v>30</v>
      </c>
      <c r="E113" s="4">
        <v>2025</v>
      </c>
      <c r="F113" s="4" t="s">
        <v>99</v>
      </c>
      <c r="G113" s="4" t="s">
        <v>100</v>
      </c>
      <c r="H113" s="4" t="s">
        <v>101</v>
      </c>
      <c r="I113" s="4" t="s">
        <v>48</v>
      </c>
      <c r="J113" s="4" t="s">
        <v>49</v>
      </c>
      <c r="K113" s="4" t="s">
        <v>132</v>
      </c>
      <c r="L113" s="4" t="s">
        <v>51</v>
      </c>
      <c r="M113" s="4" t="s">
        <v>52</v>
      </c>
      <c r="N113" s="4" t="s">
        <v>53</v>
      </c>
      <c r="O113" s="4">
        <v>5</v>
      </c>
      <c r="P113" s="6">
        <v>63629</v>
      </c>
      <c r="Q113" s="7">
        <v>0.06</v>
      </c>
      <c r="R113" s="6">
        <v>299056.3</v>
      </c>
      <c r="S113" s="6">
        <v>263169.53999999998</v>
      </c>
      <c r="T113" s="6">
        <v>35886.76</v>
      </c>
      <c r="U113" s="8">
        <v>0.12</v>
      </c>
      <c r="V113" s="4" t="s">
        <v>54</v>
      </c>
      <c r="W113" s="4" t="s">
        <v>41</v>
      </c>
      <c r="X113" s="4">
        <v>6</v>
      </c>
      <c r="Y113" s="4" t="s">
        <v>88</v>
      </c>
      <c r="AE113" s="15" t="s">
        <v>47</v>
      </c>
      <c r="AF113" s="10">
        <v>1678482.76</v>
      </c>
      <c r="AH113" t="str">
        <f t="shared" si="4"/>
        <v>Udaipur</v>
      </c>
      <c r="AI113">
        <f t="shared" si="4"/>
        <v>1678482.76</v>
      </c>
    </row>
    <row r="114" spans="1:35" x14ac:dyDescent="0.25">
      <c r="A114" s="4" t="s">
        <v>350</v>
      </c>
      <c r="B114" s="5" t="s">
        <v>351</v>
      </c>
      <c r="C114" s="4" t="s">
        <v>159</v>
      </c>
      <c r="D114" s="4" t="s">
        <v>56</v>
      </c>
      <c r="E114" s="4">
        <v>2025</v>
      </c>
      <c r="F114" s="4" t="s">
        <v>91</v>
      </c>
      <c r="G114" s="4" t="s">
        <v>148</v>
      </c>
      <c r="H114" s="4" t="s">
        <v>149</v>
      </c>
      <c r="I114" s="4" t="s">
        <v>34</v>
      </c>
      <c r="J114" s="4" t="s">
        <v>35</v>
      </c>
      <c r="K114" s="4" t="s">
        <v>132</v>
      </c>
      <c r="L114" s="4" t="s">
        <v>102</v>
      </c>
      <c r="M114" s="4" t="s">
        <v>103</v>
      </c>
      <c r="N114" s="4" t="s">
        <v>238</v>
      </c>
      <c r="O114" s="4">
        <v>13</v>
      </c>
      <c r="P114" s="6">
        <v>57</v>
      </c>
      <c r="Q114" s="7">
        <v>0.14000000000000001</v>
      </c>
      <c r="R114" s="6">
        <v>637.26</v>
      </c>
      <c r="S114" s="6">
        <v>395.1</v>
      </c>
      <c r="T114" s="6">
        <v>242.16</v>
      </c>
      <c r="U114" s="8">
        <v>0.38</v>
      </c>
      <c r="V114" s="4" t="s">
        <v>67</v>
      </c>
      <c r="W114" s="4" t="s">
        <v>41</v>
      </c>
      <c r="X114" s="4">
        <v>7</v>
      </c>
      <c r="Y114" s="4" t="s">
        <v>106</v>
      </c>
      <c r="AE114" s="9" t="s">
        <v>252</v>
      </c>
      <c r="AF114" s="10">
        <v>769336.50999999978</v>
      </c>
      <c r="AH114" t="str">
        <f t="shared" si="4"/>
        <v>Tamil Nadu</v>
      </c>
      <c r="AI114">
        <f t="shared" si="4"/>
        <v>769336.50999999978</v>
      </c>
    </row>
    <row r="115" spans="1:35" x14ac:dyDescent="0.25">
      <c r="A115" s="4" t="s">
        <v>352</v>
      </c>
      <c r="B115" s="5" t="s">
        <v>353</v>
      </c>
      <c r="C115" s="4" t="s">
        <v>85</v>
      </c>
      <c r="D115" s="4" t="s">
        <v>30</v>
      </c>
      <c r="E115" s="4">
        <v>2025</v>
      </c>
      <c r="F115" s="4" t="s">
        <v>99</v>
      </c>
      <c r="G115" s="4" t="s">
        <v>118</v>
      </c>
      <c r="H115" s="4" t="s">
        <v>119</v>
      </c>
      <c r="I115" s="4" t="s">
        <v>48</v>
      </c>
      <c r="J115" s="4" t="s">
        <v>35</v>
      </c>
      <c r="K115" s="4" t="s">
        <v>50</v>
      </c>
      <c r="L115" s="4" t="s">
        <v>37</v>
      </c>
      <c r="M115" s="4" t="s">
        <v>38</v>
      </c>
      <c r="N115" s="4" t="s">
        <v>39</v>
      </c>
      <c r="O115" s="4">
        <v>4</v>
      </c>
      <c r="P115" s="6">
        <v>3080</v>
      </c>
      <c r="Q115" s="7">
        <v>0.09</v>
      </c>
      <c r="R115" s="6">
        <v>11211.2</v>
      </c>
      <c r="S115" s="6">
        <v>6390.38</v>
      </c>
      <c r="T115" s="6">
        <v>4820.82</v>
      </c>
      <c r="U115" s="8">
        <v>0.43</v>
      </c>
      <c r="V115" s="4" t="s">
        <v>78</v>
      </c>
      <c r="W115" s="4" t="s">
        <v>55</v>
      </c>
      <c r="X115" s="4">
        <v>3</v>
      </c>
      <c r="Y115" s="4" t="s">
        <v>123</v>
      </c>
      <c r="AE115" s="15" t="s">
        <v>277</v>
      </c>
      <c r="AF115" s="10">
        <v>151100.6</v>
      </c>
      <c r="AH115" t="str">
        <f t="shared" si="4"/>
        <v>Chennai</v>
      </c>
      <c r="AI115">
        <f t="shared" si="4"/>
        <v>151100.6</v>
      </c>
    </row>
    <row r="116" spans="1:35" x14ac:dyDescent="0.25">
      <c r="A116" s="4" t="s">
        <v>354</v>
      </c>
      <c r="B116" s="5" t="s">
        <v>355</v>
      </c>
      <c r="C116" s="4" t="s">
        <v>153</v>
      </c>
      <c r="D116" s="4" t="s">
        <v>68</v>
      </c>
      <c r="E116" s="4">
        <v>2025</v>
      </c>
      <c r="F116" s="4" t="s">
        <v>45</v>
      </c>
      <c r="G116" s="4" t="s">
        <v>46</v>
      </c>
      <c r="H116" s="4" t="s">
        <v>244</v>
      </c>
      <c r="I116" s="4" t="s">
        <v>94</v>
      </c>
      <c r="J116" s="4" t="s">
        <v>35</v>
      </c>
      <c r="K116" s="4" t="s">
        <v>132</v>
      </c>
      <c r="L116" s="4" t="s">
        <v>75</v>
      </c>
      <c r="M116" s="4" t="s">
        <v>121</v>
      </c>
      <c r="N116" s="4" t="s">
        <v>122</v>
      </c>
      <c r="O116" s="4">
        <v>3</v>
      </c>
      <c r="P116" s="6">
        <v>5588</v>
      </c>
      <c r="Q116" s="7">
        <v>0.08</v>
      </c>
      <c r="R116" s="6">
        <v>15422.88</v>
      </c>
      <c r="S116" s="6">
        <v>11104.47</v>
      </c>
      <c r="T116" s="6">
        <v>4318.41</v>
      </c>
      <c r="U116" s="8">
        <v>0.28000000000000003</v>
      </c>
      <c r="V116" s="4" t="s">
        <v>54</v>
      </c>
      <c r="W116" s="4" t="s">
        <v>41</v>
      </c>
      <c r="X116" s="4">
        <v>3</v>
      </c>
      <c r="Y116" s="4" t="s">
        <v>42</v>
      </c>
      <c r="AE116" s="15" t="s">
        <v>253</v>
      </c>
      <c r="AF116" s="10">
        <v>618235.9099999998</v>
      </c>
      <c r="AH116" t="str">
        <f t="shared" si="4"/>
        <v>Coimbatore</v>
      </c>
      <c r="AI116">
        <f t="shared" si="4"/>
        <v>618235.9099999998</v>
      </c>
    </row>
    <row r="117" spans="1:35" x14ac:dyDescent="0.25">
      <c r="A117" s="4" t="s">
        <v>356</v>
      </c>
      <c r="B117" s="5" t="s">
        <v>357</v>
      </c>
      <c r="C117" s="4" t="s">
        <v>71</v>
      </c>
      <c r="D117" s="4" t="s">
        <v>68</v>
      </c>
      <c r="E117" s="4">
        <v>2025</v>
      </c>
      <c r="F117" s="4" t="s">
        <v>45</v>
      </c>
      <c r="G117" s="4" t="s">
        <v>46</v>
      </c>
      <c r="H117" s="4" t="s">
        <v>244</v>
      </c>
      <c r="I117" s="4" t="s">
        <v>34</v>
      </c>
      <c r="J117" s="4" t="s">
        <v>35</v>
      </c>
      <c r="K117" s="4" t="s">
        <v>36</v>
      </c>
      <c r="L117" s="4" t="s">
        <v>102</v>
      </c>
      <c r="M117" s="4" t="s">
        <v>103</v>
      </c>
      <c r="N117" s="4" t="s">
        <v>104</v>
      </c>
      <c r="O117" s="4">
        <v>24</v>
      </c>
      <c r="P117" s="6">
        <v>82</v>
      </c>
      <c r="Q117" s="7">
        <v>0.14000000000000001</v>
      </c>
      <c r="R117" s="6">
        <v>1692.48</v>
      </c>
      <c r="S117" s="6">
        <v>1083.19</v>
      </c>
      <c r="T117" s="6">
        <v>609.29</v>
      </c>
      <c r="U117" s="8">
        <v>0.36</v>
      </c>
      <c r="V117" s="4" t="s">
        <v>67</v>
      </c>
      <c r="W117" s="4" t="s">
        <v>55</v>
      </c>
      <c r="X117" s="4">
        <v>3</v>
      </c>
      <c r="Y117" s="4" t="s">
        <v>42</v>
      </c>
      <c r="AE117" s="9" t="s">
        <v>100</v>
      </c>
      <c r="AF117" s="10">
        <v>1289274.1600000001</v>
      </c>
      <c r="AH117" t="str">
        <f t="shared" si="4"/>
        <v>Telangana</v>
      </c>
      <c r="AI117">
        <f t="shared" si="4"/>
        <v>1289274.1600000001</v>
      </c>
    </row>
    <row r="118" spans="1:35" x14ac:dyDescent="0.25">
      <c r="A118" s="4" t="s">
        <v>358</v>
      </c>
      <c r="B118" s="5" t="s">
        <v>359</v>
      </c>
      <c r="C118" s="4" t="s">
        <v>136</v>
      </c>
      <c r="D118" s="4" t="s">
        <v>60</v>
      </c>
      <c r="E118" s="4">
        <v>2025</v>
      </c>
      <c r="F118" s="4" t="s">
        <v>45</v>
      </c>
      <c r="G118" s="4" t="s">
        <v>167</v>
      </c>
      <c r="H118" s="4" t="s">
        <v>168</v>
      </c>
      <c r="I118" s="4" t="s">
        <v>94</v>
      </c>
      <c r="J118" s="4" t="s">
        <v>63</v>
      </c>
      <c r="K118" s="4" t="s">
        <v>144</v>
      </c>
      <c r="L118" s="4" t="s">
        <v>51</v>
      </c>
      <c r="M118" s="4" t="s">
        <v>52</v>
      </c>
      <c r="N118" s="4" t="s">
        <v>145</v>
      </c>
      <c r="O118" s="4">
        <v>2</v>
      </c>
      <c r="P118" s="6">
        <v>22491</v>
      </c>
      <c r="Q118" s="7">
        <v>0.15</v>
      </c>
      <c r="R118" s="6">
        <v>38234.699999999997</v>
      </c>
      <c r="S118" s="6">
        <v>31352.45</v>
      </c>
      <c r="T118" s="6">
        <v>6882.25</v>
      </c>
      <c r="U118" s="8">
        <v>0.18</v>
      </c>
      <c r="V118" s="4" t="s">
        <v>67</v>
      </c>
      <c r="W118" s="4" t="s">
        <v>41</v>
      </c>
      <c r="X118" s="4">
        <v>3</v>
      </c>
      <c r="Y118" s="4" t="s">
        <v>42</v>
      </c>
      <c r="AE118" s="15" t="s">
        <v>101</v>
      </c>
      <c r="AF118" s="10">
        <v>1289274.1600000001</v>
      </c>
      <c r="AH118" t="str">
        <f t="shared" si="4"/>
        <v>Hyderabad</v>
      </c>
      <c r="AI118">
        <f t="shared" si="4"/>
        <v>1289274.1600000001</v>
      </c>
    </row>
    <row r="119" spans="1:35" x14ac:dyDescent="0.25">
      <c r="A119" s="4" t="s">
        <v>360</v>
      </c>
      <c r="B119" s="5" t="s">
        <v>361</v>
      </c>
      <c r="C119" s="4" t="s">
        <v>159</v>
      </c>
      <c r="D119" s="4" t="s">
        <v>56</v>
      </c>
      <c r="E119" s="4">
        <v>2025</v>
      </c>
      <c r="F119" s="4" t="s">
        <v>31</v>
      </c>
      <c r="G119" s="4" t="s">
        <v>61</v>
      </c>
      <c r="H119" s="4" t="s">
        <v>175</v>
      </c>
      <c r="I119" s="4" t="s">
        <v>48</v>
      </c>
      <c r="J119" s="4" t="s">
        <v>49</v>
      </c>
      <c r="K119" s="4" t="s">
        <v>36</v>
      </c>
      <c r="L119" s="4" t="s">
        <v>51</v>
      </c>
      <c r="M119" s="4" t="s">
        <v>65</v>
      </c>
      <c r="N119" s="4" t="s">
        <v>247</v>
      </c>
      <c r="O119" s="4">
        <v>3</v>
      </c>
      <c r="P119" s="6">
        <v>49259</v>
      </c>
      <c r="Q119" s="7">
        <v>0.01</v>
      </c>
      <c r="R119" s="6">
        <v>146299.23000000001</v>
      </c>
      <c r="S119" s="6">
        <v>122891.35</v>
      </c>
      <c r="T119" s="6">
        <v>23407.88</v>
      </c>
      <c r="U119" s="8">
        <v>0.16</v>
      </c>
      <c r="V119" s="4" t="s">
        <v>78</v>
      </c>
      <c r="W119" s="4" t="s">
        <v>55</v>
      </c>
      <c r="X119" s="4">
        <v>1</v>
      </c>
      <c r="Y119" s="4" t="s">
        <v>88</v>
      </c>
      <c r="AE119" s="9" t="s">
        <v>167</v>
      </c>
      <c r="AF119" s="10">
        <v>247519.31999999998</v>
      </c>
      <c r="AH119" t="str">
        <f t="shared" si="4"/>
        <v>Uttar Pradesh</v>
      </c>
      <c r="AI119">
        <f t="shared" si="4"/>
        <v>247519.31999999998</v>
      </c>
    </row>
    <row r="120" spans="1:35" x14ac:dyDescent="0.25">
      <c r="A120" s="4" t="s">
        <v>362</v>
      </c>
      <c r="B120" s="5" t="s">
        <v>363</v>
      </c>
      <c r="C120" s="4" t="s">
        <v>159</v>
      </c>
      <c r="D120" s="4" t="s">
        <v>56</v>
      </c>
      <c r="E120" s="4">
        <v>2025</v>
      </c>
      <c r="F120" s="4" t="s">
        <v>45</v>
      </c>
      <c r="G120" s="4" t="s">
        <v>46</v>
      </c>
      <c r="H120" s="4" t="s">
        <v>47</v>
      </c>
      <c r="I120" s="4" t="s">
        <v>94</v>
      </c>
      <c r="J120" s="4" t="s">
        <v>35</v>
      </c>
      <c r="K120" s="4" t="s">
        <v>132</v>
      </c>
      <c r="L120" s="4" t="s">
        <v>51</v>
      </c>
      <c r="M120" s="4" t="s">
        <v>128</v>
      </c>
      <c r="N120" s="4" t="s">
        <v>228</v>
      </c>
      <c r="O120" s="4">
        <v>1</v>
      </c>
      <c r="P120" s="6">
        <v>1357</v>
      </c>
      <c r="Q120" s="7">
        <v>0.11</v>
      </c>
      <c r="R120" s="6">
        <v>1207.73</v>
      </c>
      <c r="S120" s="6">
        <v>821.26</v>
      </c>
      <c r="T120" s="6">
        <v>386.47</v>
      </c>
      <c r="U120" s="8">
        <v>0.32</v>
      </c>
      <c r="V120" s="4" t="s">
        <v>54</v>
      </c>
      <c r="W120" s="4" t="s">
        <v>41</v>
      </c>
      <c r="X120" s="4">
        <v>3</v>
      </c>
      <c r="Y120" s="4" t="s">
        <v>42</v>
      </c>
      <c r="AE120" s="15" t="s">
        <v>168</v>
      </c>
      <c r="AF120" s="10">
        <v>109562.28</v>
      </c>
      <c r="AH120" t="str">
        <f t="shared" si="4"/>
        <v>Kanpur</v>
      </c>
      <c r="AI120">
        <f t="shared" si="4"/>
        <v>109562.28</v>
      </c>
    </row>
    <row r="121" spans="1:35" x14ac:dyDescent="0.25">
      <c r="A121" s="4" t="s">
        <v>364</v>
      </c>
      <c r="B121" s="5" t="s">
        <v>58</v>
      </c>
      <c r="C121" s="4" t="s">
        <v>59</v>
      </c>
      <c r="D121" s="4" t="s">
        <v>60</v>
      </c>
      <c r="E121" s="4">
        <v>2025</v>
      </c>
      <c r="F121" s="4" t="s">
        <v>31</v>
      </c>
      <c r="G121" s="4" t="s">
        <v>61</v>
      </c>
      <c r="H121" s="4" t="s">
        <v>62</v>
      </c>
      <c r="I121" s="4" t="s">
        <v>48</v>
      </c>
      <c r="J121" s="4" t="s">
        <v>63</v>
      </c>
      <c r="K121" s="4" t="s">
        <v>95</v>
      </c>
      <c r="L121" s="4" t="s">
        <v>51</v>
      </c>
      <c r="M121" s="4" t="s">
        <v>65</v>
      </c>
      <c r="N121" s="4" t="s">
        <v>247</v>
      </c>
      <c r="O121" s="4">
        <v>2</v>
      </c>
      <c r="P121" s="6">
        <v>48759</v>
      </c>
      <c r="Q121" s="7">
        <v>0.08</v>
      </c>
      <c r="R121" s="6">
        <v>89716.56</v>
      </c>
      <c r="S121" s="6">
        <v>75361.91</v>
      </c>
      <c r="T121" s="6">
        <v>14354.65</v>
      </c>
      <c r="U121" s="8">
        <v>0.16</v>
      </c>
      <c r="V121" s="4" t="s">
        <v>105</v>
      </c>
      <c r="W121" s="4" t="s">
        <v>87</v>
      </c>
      <c r="X121" s="4">
        <v>0</v>
      </c>
      <c r="Y121" s="4" t="s">
        <v>88</v>
      </c>
      <c r="AE121" s="15" t="s">
        <v>324</v>
      </c>
      <c r="AF121" s="10">
        <v>111788.64</v>
      </c>
      <c r="AH121" t="str">
        <f t="shared" si="4"/>
        <v>Lucknow</v>
      </c>
      <c r="AI121">
        <f t="shared" si="4"/>
        <v>111788.64</v>
      </c>
    </row>
    <row r="122" spans="1:35" x14ac:dyDescent="0.25">
      <c r="A122" s="4" t="s">
        <v>365</v>
      </c>
      <c r="B122" s="5" t="s">
        <v>289</v>
      </c>
      <c r="C122" s="4" t="s">
        <v>209</v>
      </c>
      <c r="D122" s="4" t="s">
        <v>68</v>
      </c>
      <c r="E122" s="4">
        <v>2025</v>
      </c>
      <c r="F122" s="4" t="s">
        <v>99</v>
      </c>
      <c r="G122" s="4" t="s">
        <v>118</v>
      </c>
      <c r="H122" s="4" t="s">
        <v>196</v>
      </c>
      <c r="I122" s="4" t="s">
        <v>94</v>
      </c>
      <c r="J122" s="4" t="s">
        <v>35</v>
      </c>
      <c r="K122" s="4" t="s">
        <v>120</v>
      </c>
      <c r="L122" s="4" t="s">
        <v>51</v>
      </c>
      <c r="M122" s="4" t="s">
        <v>128</v>
      </c>
      <c r="N122" s="4" t="s">
        <v>228</v>
      </c>
      <c r="O122" s="4">
        <v>3</v>
      </c>
      <c r="P122" s="6">
        <v>979</v>
      </c>
      <c r="Q122" s="7">
        <v>0.13</v>
      </c>
      <c r="R122" s="6">
        <v>2555.19</v>
      </c>
      <c r="S122" s="6">
        <v>1737.53</v>
      </c>
      <c r="T122" s="6">
        <v>817.66</v>
      </c>
      <c r="U122" s="8">
        <v>0.32</v>
      </c>
      <c r="V122" s="4" t="s">
        <v>40</v>
      </c>
      <c r="W122" s="4" t="s">
        <v>41</v>
      </c>
      <c r="X122" s="4">
        <v>6</v>
      </c>
      <c r="Y122" s="4" t="s">
        <v>42</v>
      </c>
      <c r="AE122" s="15" t="s">
        <v>337</v>
      </c>
      <c r="AF122" s="10">
        <v>26168.400000000001</v>
      </c>
      <c r="AH122" t="str">
        <f t="shared" si="4"/>
        <v>Noida</v>
      </c>
      <c r="AI122">
        <f t="shared" si="4"/>
        <v>26168.400000000001</v>
      </c>
    </row>
    <row r="123" spans="1:35" x14ac:dyDescent="0.25">
      <c r="A123" s="4" t="s">
        <v>366</v>
      </c>
      <c r="B123" s="5" t="s">
        <v>367</v>
      </c>
      <c r="C123" s="4" t="s">
        <v>209</v>
      </c>
      <c r="D123" s="4" t="s">
        <v>68</v>
      </c>
      <c r="E123" s="4">
        <v>2025</v>
      </c>
      <c r="F123" s="4" t="s">
        <v>31</v>
      </c>
      <c r="G123" s="4" t="s">
        <v>188</v>
      </c>
      <c r="H123" s="4" t="s">
        <v>189</v>
      </c>
      <c r="I123" s="4" t="s">
        <v>94</v>
      </c>
      <c r="J123" s="4" t="s">
        <v>63</v>
      </c>
      <c r="K123" s="4" t="s">
        <v>50</v>
      </c>
      <c r="L123" s="4" t="s">
        <v>75</v>
      </c>
      <c r="M123" s="4" t="s">
        <v>121</v>
      </c>
      <c r="N123" s="4" t="s">
        <v>122</v>
      </c>
      <c r="O123" s="4">
        <v>3</v>
      </c>
      <c r="P123" s="6">
        <v>7395</v>
      </c>
      <c r="Q123" s="7">
        <v>0.11</v>
      </c>
      <c r="R123" s="6">
        <v>19744.650000000001</v>
      </c>
      <c r="S123" s="6">
        <v>14216.15</v>
      </c>
      <c r="T123" s="6">
        <v>5528.5</v>
      </c>
      <c r="U123" s="8">
        <v>0.28000000000000003</v>
      </c>
      <c r="V123" s="4" t="s">
        <v>105</v>
      </c>
      <c r="W123" s="4" t="s">
        <v>55</v>
      </c>
      <c r="X123" s="4">
        <v>1</v>
      </c>
      <c r="Y123" s="4" t="s">
        <v>42</v>
      </c>
      <c r="AE123" s="9" t="s">
        <v>61</v>
      </c>
      <c r="AF123" s="10">
        <v>1016174.94</v>
      </c>
      <c r="AH123" t="str">
        <f t="shared" si="4"/>
        <v>West Bengal</v>
      </c>
      <c r="AI123">
        <f t="shared" si="4"/>
        <v>1016174.94</v>
      </c>
    </row>
    <row r="124" spans="1:35" x14ac:dyDescent="0.25">
      <c r="A124" s="4" t="s">
        <v>368</v>
      </c>
      <c r="B124" s="5" t="s">
        <v>369</v>
      </c>
      <c r="C124" s="4" t="s">
        <v>98</v>
      </c>
      <c r="D124" s="4" t="s">
        <v>56</v>
      </c>
      <c r="E124" s="4">
        <v>2025</v>
      </c>
      <c r="F124" s="4" t="s">
        <v>45</v>
      </c>
      <c r="G124" s="4" t="s">
        <v>46</v>
      </c>
      <c r="H124" s="4" t="s">
        <v>244</v>
      </c>
      <c r="I124" s="4" t="s">
        <v>94</v>
      </c>
      <c r="J124" s="4" t="s">
        <v>63</v>
      </c>
      <c r="K124" s="4" t="s">
        <v>156</v>
      </c>
      <c r="L124" s="4" t="s">
        <v>51</v>
      </c>
      <c r="M124" s="4" t="s">
        <v>52</v>
      </c>
      <c r="N124" s="4" t="s">
        <v>53</v>
      </c>
      <c r="O124" s="4">
        <v>6</v>
      </c>
      <c r="P124" s="6">
        <v>63367</v>
      </c>
      <c r="Q124" s="7">
        <v>0.06</v>
      </c>
      <c r="R124" s="6">
        <v>357389.88</v>
      </c>
      <c r="S124" s="6">
        <v>314503.09000000003</v>
      </c>
      <c r="T124" s="6">
        <v>42886.79</v>
      </c>
      <c r="U124" s="8">
        <v>0.12</v>
      </c>
      <c r="V124" s="4" t="s">
        <v>78</v>
      </c>
      <c r="W124" s="4" t="s">
        <v>55</v>
      </c>
      <c r="X124" s="4">
        <v>1</v>
      </c>
      <c r="Y124" s="4" t="s">
        <v>42</v>
      </c>
      <c r="AE124" s="15" t="s">
        <v>62</v>
      </c>
      <c r="AF124" s="10">
        <v>428085.31999999995</v>
      </c>
      <c r="AH124" t="str">
        <f t="shared" si="4"/>
        <v>Kolkata</v>
      </c>
      <c r="AI124">
        <f t="shared" si="4"/>
        <v>428085.31999999995</v>
      </c>
    </row>
    <row r="125" spans="1:35" x14ac:dyDescent="0.25">
      <c r="A125" s="4" t="s">
        <v>370</v>
      </c>
      <c r="B125" s="5" t="s">
        <v>371</v>
      </c>
      <c r="C125" s="4" t="s">
        <v>29</v>
      </c>
      <c r="D125" s="4" t="s">
        <v>30</v>
      </c>
      <c r="E125" s="4">
        <v>2025</v>
      </c>
      <c r="F125" s="4" t="s">
        <v>91</v>
      </c>
      <c r="G125" s="4" t="s">
        <v>183</v>
      </c>
      <c r="H125" s="4" t="s">
        <v>184</v>
      </c>
      <c r="I125" s="4" t="s">
        <v>34</v>
      </c>
      <c r="J125" s="4" t="s">
        <v>35</v>
      </c>
      <c r="K125" s="4" t="s">
        <v>144</v>
      </c>
      <c r="L125" s="4" t="s">
        <v>51</v>
      </c>
      <c r="M125" s="4" t="s">
        <v>65</v>
      </c>
      <c r="N125" s="4" t="s">
        <v>247</v>
      </c>
      <c r="O125" s="4">
        <v>5</v>
      </c>
      <c r="P125" s="6">
        <v>55301</v>
      </c>
      <c r="Q125" s="7">
        <v>0.11</v>
      </c>
      <c r="R125" s="6">
        <v>246089.45</v>
      </c>
      <c r="S125" s="6">
        <v>206715.14</v>
      </c>
      <c r="T125" s="6">
        <v>39374.31</v>
      </c>
      <c r="U125" s="8">
        <v>0.16</v>
      </c>
      <c r="V125" s="4" t="s">
        <v>105</v>
      </c>
      <c r="W125" s="4" t="s">
        <v>55</v>
      </c>
      <c r="X125" s="4">
        <v>1</v>
      </c>
      <c r="Y125" s="4" t="s">
        <v>123</v>
      </c>
      <c r="AE125" s="15" t="s">
        <v>175</v>
      </c>
      <c r="AF125" s="10">
        <v>588089.62</v>
      </c>
      <c r="AH125" t="str">
        <f t="shared" si="4"/>
        <v>Siliguri</v>
      </c>
      <c r="AI125">
        <f t="shared" si="4"/>
        <v>588089.62</v>
      </c>
    </row>
    <row r="126" spans="1:35" x14ac:dyDescent="0.25">
      <c r="A126" s="4" t="s">
        <v>372</v>
      </c>
      <c r="B126" s="5" t="s">
        <v>373</v>
      </c>
      <c r="C126" s="4" t="s">
        <v>109</v>
      </c>
      <c r="D126" s="4" t="s">
        <v>60</v>
      </c>
      <c r="E126" s="4">
        <v>2025</v>
      </c>
      <c r="F126" s="4" t="s">
        <v>99</v>
      </c>
      <c r="G126" s="4" t="s">
        <v>214</v>
      </c>
      <c r="H126" s="4" t="s">
        <v>215</v>
      </c>
      <c r="I126" s="4" t="s">
        <v>48</v>
      </c>
      <c r="J126" s="4" t="s">
        <v>63</v>
      </c>
      <c r="K126" s="4" t="s">
        <v>86</v>
      </c>
      <c r="L126" s="4" t="s">
        <v>37</v>
      </c>
      <c r="M126" s="4" t="s">
        <v>80</v>
      </c>
      <c r="N126" s="4" t="s">
        <v>81</v>
      </c>
      <c r="O126" s="4">
        <v>5</v>
      </c>
      <c r="P126" s="6">
        <v>2051</v>
      </c>
      <c r="Q126" s="7">
        <v>0.06</v>
      </c>
      <c r="R126" s="6">
        <v>9639.7000000000007</v>
      </c>
      <c r="S126" s="6">
        <v>5591.03</v>
      </c>
      <c r="T126" s="6">
        <v>4048.67</v>
      </c>
      <c r="U126" s="8">
        <v>0.42</v>
      </c>
      <c r="V126" s="4" t="s">
        <v>54</v>
      </c>
      <c r="W126" s="4" t="s">
        <v>55</v>
      </c>
      <c r="X126" s="4">
        <v>2</v>
      </c>
      <c r="Y126" s="4" t="s">
        <v>42</v>
      </c>
      <c r="AE126" s="9" t="s">
        <v>82</v>
      </c>
      <c r="AF126" s="10">
        <v>13163785.079999998</v>
      </c>
    </row>
    <row r="127" spans="1:35" x14ac:dyDescent="0.25">
      <c r="A127" s="4" t="s">
        <v>374</v>
      </c>
      <c r="B127" s="5" t="s">
        <v>375</v>
      </c>
      <c r="C127" s="4" t="s">
        <v>29</v>
      </c>
      <c r="D127" s="4" t="s">
        <v>30</v>
      </c>
      <c r="E127" s="4">
        <v>2025</v>
      </c>
      <c r="F127" s="4" t="s">
        <v>99</v>
      </c>
      <c r="G127" s="4" t="s">
        <v>252</v>
      </c>
      <c r="H127" s="4" t="s">
        <v>253</v>
      </c>
      <c r="I127" s="4" t="s">
        <v>48</v>
      </c>
      <c r="J127" s="4" t="s">
        <v>63</v>
      </c>
      <c r="K127" s="4" t="s">
        <v>36</v>
      </c>
      <c r="L127" s="4" t="s">
        <v>75</v>
      </c>
      <c r="M127" s="4" t="s">
        <v>121</v>
      </c>
      <c r="N127" s="4" t="s">
        <v>137</v>
      </c>
      <c r="O127" s="4">
        <v>2</v>
      </c>
      <c r="P127" s="6">
        <v>15412</v>
      </c>
      <c r="Q127" s="7">
        <v>0.04</v>
      </c>
      <c r="R127" s="6">
        <v>29591.040000000001</v>
      </c>
      <c r="S127" s="6">
        <v>21897.37</v>
      </c>
      <c r="T127" s="6">
        <v>7693.67</v>
      </c>
      <c r="U127" s="8">
        <v>0.26</v>
      </c>
      <c r="V127" s="4" t="s">
        <v>54</v>
      </c>
      <c r="W127" s="4" t="s">
        <v>55</v>
      </c>
      <c r="X127" s="4">
        <v>3</v>
      </c>
      <c r="Y127" s="4" t="s">
        <v>88</v>
      </c>
    </row>
    <row r="128" spans="1:35" x14ac:dyDescent="0.25">
      <c r="A128" s="4" t="s">
        <v>376</v>
      </c>
      <c r="B128" s="5" t="s">
        <v>377</v>
      </c>
      <c r="C128" s="4" t="s">
        <v>59</v>
      </c>
      <c r="D128" s="4" t="s">
        <v>60</v>
      </c>
      <c r="E128" s="4">
        <v>2025</v>
      </c>
      <c r="F128" s="4" t="s">
        <v>45</v>
      </c>
      <c r="G128" s="4" t="s">
        <v>46</v>
      </c>
      <c r="H128" s="4" t="s">
        <v>47</v>
      </c>
      <c r="I128" s="4" t="s">
        <v>94</v>
      </c>
      <c r="J128" s="4" t="s">
        <v>49</v>
      </c>
      <c r="K128" s="4" t="s">
        <v>50</v>
      </c>
      <c r="L128" s="4" t="s">
        <v>75</v>
      </c>
      <c r="M128" s="4" t="s">
        <v>76</v>
      </c>
      <c r="N128" s="4" t="s">
        <v>140</v>
      </c>
      <c r="O128" s="4">
        <v>2</v>
      </c>
      <c r="P128" s="6">
        <v>21097</v>
      </c>
      <c r="Q128" s="7">
        <v>0.06</v>
      </c>
      <c r="R128" s="6">
        <v>39662.36</v>
      </c>
      <c r="S128" s="6">
        <v>30143.39</v>
      </c>
      <c r="T128" s="6">
        <v>9518.9699999999993</v>
      </c>
      <c r="U128" s="8">
        <v>0.24</v>
      </c>
      <c r="V128" s="4" t="s">
        <v>105</v>
      </c>
      <c r="W128" s="4" t="s">
        <v>55</v>
      </c>
      <c r="X128" s="4">
        <v>1</v>
      </c>
      <c r="Y128" s="4" t="s">
        <v>88</v>
      </c>
    </row>
    <row r="129" spans="1:25" x14ac:dyDescent="0.25">
      <c r="A129" s="4" t="s">
        <v>378</v>
      </c>
      <c r="B129" s="5" t="s">
        <v>379</v>
      </c>
      <c r="C129" s="4" t="s">
        <v>98</v>
      </c>
      <c r="D129" s="4" t="s">
        <v>56</v>
      </c>
      <c r="E129" s="4">
        <v>2025</v>
      </c>
      <c r="F129" s="4" t="s">
        <v>31</v>
      </c>
      <c r="G129" s="4" t="s">
        <v>188</v>
      </c>
      <c r="H129" s="4" t="s">
        <v>189</v>
      </c>
      <c r="I129" s="4" t="s">
        <v>48</v>
      </c>
      <c r="J129" s="4" t="s">
        <v>49</v>
      </c>
      <c r="K129" s="4" t="s">
        <v>144</v>
      </c>
      <c r="L129" s="4" t="s">
        <v>51</v>
      </c>
      <c r="M129" s="4" t="s">
        <v>65</v>
      </c>
      <c r="N129" s="4" t="s">
        <v>66</v>
      </c>
      <c r="O129" s="4">
        <v>6</v>
      </c>
      <c r="P129" s="6">
        <v>61999</v>
      </c>
      <c r="Q129" s="7">
        <v>0.01</v>
      </c>
      <c r="R129" s="6">
        <v>368274.06</v>
      </c>
      <c r="S129" s="6">
        <v>313032.95</v>
      </c>
      <c r="T129" s="6">
        <v>55241.11</v>
      </c>
      <c r="U129" s="8">
        <v>0.15</v>
      </c>
      <c r="V129" s="4" t="s">
        <v>54</v>
      </c>
      <c r="W129" s="4" t="s">
        <v>41</v>
      </c>
      <c r="X129" s="4">
        <v>4</v>
      </c>
      <c r="Y129" s="4" t="s">
        <v>42</v>
      </c>
    </row>
    <row r="130" spans="1:25" x14ac:dyDescent="0.25">
      <c r="A130" s="4" t="s">
        <v>380</v>
      </c>
      <c r="B130" s="5" t="s">
        <v>381</v>
      </c>
      <c r="C130" s="4" t="s">
        <v>59</v>
      </c>
      <c r="D130" s="4" t="s">
        <v>60</v>
      </c>
      <c r="E130" s="4">
        <v>2025</v>
      </c>
      <c r="F130" s="4" t="s">
        <v>99</v>
      </c>
      <c r="G130" s="4" t="s">
        <v>214</v>
      </c>
      <c r="H130" s="4" t="s">
        <v>215</v>
      </c>
      <c r="I130" s="4" t="s">
        <v>94</v>
      </c>
      <c r="J130" s="4" t="s">
        <v>49</v>
      </c>
      <c r="K130" s="4" t="s">
        <v>132</v>
      </c>
      <c r="L130" s="4" t="s">
        <v>75</v>
      </c>
      <c r="M130" s="4" t="s">
        <v>76</v>
      </c>
      <c r="N130" s="4" t="s">
        <v>140</v>
      </c>
      <c r="O130" s="4">
        <v>2</v>
      </c>
      <c r="P130" s="6">
        <v>19299</v>
      </c>
      <c r="Q130" s="7">
        <v>0.11</v>
      </c>
      <c r="R130" s="6">
        <v>34352.22</v>
      </c>
      <c r="S130" s="6">
        <v>26107.69</v>
      </c>
      <c r="T130" s="6">
        <v>8244.5300000000007</v>
      </c>
      <c r="U130" s="8">
        <v>0.24</v>
      </c>
      <c r="V130" s="4" t="s">
        <v>78</v>
      </c>
      <c r="W130" s="4" t="s">
        <v>87</v>
      </c>
      <c r="X130" s="4">
        <v>0</v>
      </c>
      <c r="Y130" s="4" t="s">
        <v>42</v>
      </c>
    </row>
    <row r="131" spans="1:25" x14ac:dyDescent="0.25">
      <c r="A131" s="4" t="s">
        <v>382</v>
      </c>
      <c r="B131" s="5" t="s">
        <v>383</v>
      </c>
      <c r="C131" s="4" t="s">
        <v>153</v>
      </c>
      <c r="D131" s="4" t="s">
        <v>68</v>
      </c>
      <c r="E131" s="4">
        <v>2025</v>
      </c>
      <c r="F131" s="4" t="s">
        <v>99</v>
      </c>
      <c r="G131" s="4" t="s">
        <v>252</v>
      </c>
      <c r="H131" s="4" t="s">
        <v>253</v>
      </c>
      <c r="I131" s="4" t="s">
        <v>48</v>
      </c>
      <c r="J131" s="4" t="s">
        <v>63</v>
      </c>
      <c r="K131" s="4" t="s">
        <v>144</v>
      </c>
      <c r="L131" s="4" t="s">
        <v>102</v>
      </c>
      <c r="M131" s="4" t="s">
        <v>103</v>
      </c>
      <c r="N131" s="4" t="s">
        <v>104</v>
      </c>
      <c r="O131" s="4">
        <v>30</v>
      </c>
      <c r="P131" s="6">
        <v>79</v>
      </c>
      <c r="Q131" s="7">
        <v>0.1</v>
      </c>
      <c r="R131" s="6">
        <v>2133</v>
      </c>
      <c r="S131" s="6">
        <v>1365.12</v>
      </c>
      <c r="T131" s="6">
        <v>767.88</v>
      </c>
      <c r="U131" s="8">
        <v>0.36</v>
      </c>
      <c r="V131" s="4" t="s">
        <v>54</v>
      </c>
      <c r="W131" s="4" t="s">
        <v>41</v>
      </c>
      <c r="X131" s="4">
        <v>7</v>
      </c>
      <c r="Y131" s="4" t="s">
        <v>42</v>
      </c>
    </row>
    <row r="132" spans="1:25" x14ac:dyDescent="0.25">
      <c r="A132" s="4" t="s">
        <v>384</v>
      </c>
      <c r="B132" s="5" t="s">
        <v>385</v>
      </c>
      <c r="C132" s="4" t="s">
        <v>153</v>
      </c>
      <c r="D132" s="4" t="s">
        <v>68</v>
      </c>
      <c r="E132" s="4">
        <v>2025</v>
      </c>
      <c r="F132" s="4" t="s">
        <v>99</v>
      </c>
      <c r="G132" s="4" t="s">
        <v>100</v>
      </c>
      <c r="H132" s="4" t="s">
        <v>101</v>
      </c>
      <c r="I132" s="4" t="s">
        <v>34</v>
      </c>
      <c r="J132" s="4" t="s">
        <v>35</v>
      </c>
      <c r="K132" s="4" t="s">
        <v>64</v>
      </c>
      <c r="L132" s="4" t="s">
        <v>75</v>
      </c>
      <c r="M132" s="4" t="s">
        <v>76</v>
      </c>
      <c r="N132" s="4" t="s">
        <v>77</v>
      </c>
      <c r="O132" s="4">
        <v>1</v>
      </c>
      <c r="P132" s="6">
        <v>7802</v>
      </c>
      <c r="Q132" s="7">
        <v>0.08</v>
      </c>
      <c r="R132" s="6">
        <v>7177.84</v>
      </c>
      <c r="S132" s="6">
        <v>5096.2700000000004</v>
      </c>
      <c r="T132" s="6">
        <v>2081.5700000000002</v>
      </c>
      <c r="U132" s="8">
        <v>0.28999999999999998</v>
      </c>
      <c r="V132" s="4" t="s">
        <v>105</v>
      </c>
      <c r="W132" s="4" t="s">
        <v>87</v>
      </c>
      <c r="X132" s="4">
        <v>0</v>
      </c>
      <c r="Y132" s="4" t="s">
        <v>88</v>
      </c>
    </row>
    <row r="133" spans="1:25" x14ac:dyDescent="0.25">
      <c r="A133" s="4" t="s">
        <v>386</v>
      </c>
      <c r="B133" s="5" t="s">
        <v>387</v>
      </c>
      <c r="C133" s="4" t="s">
        <v>85</v>
      </c>
      <c r="D133" s="4" t="s">
        <v>30</v>
      </c>
      <c r="E133" s="4">
        <v>2025</v>
      </c>
      <c r="F133" s="4" t="s">
        <v>31</v>
      </c>
      <c r="G133" s="4" t="s">
        <v>32</v>
      </c>
      <c r="H133" s="4" t="s">
        <v>127</v>
      </c>
      <c r="I133" s="4" t="s">
        <v>34</v>
      </c>
      <c r="J133" s="4" t="s">
        <v>49</v>
      </c>
      <c r="K133" s="4" t="s">
        <v>132</v>
      </c>
      <c r="L133" s="4" t="s">
        <v>102</v>
      </c>
      <c r="M133" s="4" t="s">
        <v>113</v>
      </c>
      <c r="N133" s="4" t="s">
        <v>133</v>
      </c>
      <c r="O133" s="4">
        <v>7</v>
      </c>
      <c r="P133" s="6">
        <v>324</v>
      </c>
      <c r="Q133" s="7">
        <v>0.11</v>
      </c>
      <c r="R133" s="6">
        <v>2018.52</v>
      </c>
      <c r="S133" s="6">
        <v>1352.41</v>
      </c>
      <c r="T133" s="6">
        <v>666.11</v>
      </c>
      <c r="U133" s="8">
        <v>0.33</v>
      </c>
      <c r="V133" s="4" t="s">
        <v>67</v>
      </c>
      <c r="W133" s="4" t="s">
        <v>87</v>
      </c>
      <c r="X133" s="4">
        <v>0</v>
      </c>
      <c r="Y133" s="4" t="s">
        <v>106</v>
      </c>
    </row>
    <row r="134" spans="1:25" x14ac:dyDescent="0.25">
      <c r="A134" s="4" t="s">
        <v>388</v>
      </c>
      <c r="B134" s="5" t="s">
        <v>389</v>
      </c>
      <c r="C134" s="4" t="s">
        <v>209</v>
      </c>
      <c r="D134" s="4" t="s">
        <v>68</v>
      </c>
      <c r="E134" s="4">
        <v>2025</v>
      </c>
      <c r="F134" s="4" t="s">
        <v>91</v>
      </c>
      <c r="G134" s="4" t="s">
        <v>92</v>
      </c>
      <c r="H134" s="4" t="s">
        <v>93</v>
      </c>
      <c r="I134" s="4" t="s">
        <v>34</v>
      </c>
      <c r="J134" s="4" t="s">
        <v>35</v>
      </c>
      <c r="K134" s="4" t="s">
        <v>86</v>
      </c>
      <c r="L134" s="4" t="s">
        <v>37</v>
      </c>
      <c r="M134" s="4" t="s">
        <v>80</v>
      </c>
      <c r="N134" s="4" t="s">
        <v>150</v>
      </c>
      <c r="O134" s="4">
        <v>8</v>
      </c>
      <c r="P134" s="6">
        <v>2073</v>
      </c>
      <c r="Q134" s="7">
        <v>0.13</v>
      </c>
      <c r="R134" s="6">
        <v>14428.08</v>
      </c>
      <c r="S134" s="6">
        <v>8656.85</v>
      </c>
      <c r="T134" s="6">
        <v>5771.23</v>
      </c>
      <c r="U134" s="8">
        <v>0.4</v>
      </c>
      <c r="V134" s="4" t="s">
        <v>67</v>
      </c>
      <c r="W134" s="4" t="s">
        <v>87</v>
      </c>
      <c r="X134" s="4">
        <v>0</v>
      </c>
      <c r="Y134" s="4" t="s">
        <v>106</v>
      </c>
    </row>
    <row r="135" spans="1:25" x14ac:dyDescent="0.25">
      <c r="A135" s="4" t="s">
        <v>390</v>
      </c>
      <c r="B135" s="5" t="s">
        <v>391</v>
      </c>
      <c r="C135" s="4" t="s">
        <v>136</v>
      </c>
      <c r="D135" s="4" t="s">
        <v>60</v>
      </c>
      <c r="E135" s="4">
        <v>2025</v>
      </c>
      <c r="F135" s="4" t="s">
        <v>45</v>
      </c>
      <c r="G135" s="4" t="s">
        <v>46</v>
      </c>
      <c r="H135" s="4" t="s">
        <v>47</v>
      </c>
      <c r="I135" s="4" t="s">
        <v>48</v>
      </c>
      <c r="J135" s="4" t="s">
        <v>63</v>
      </c>
      <c r="K135" s="4" t="s">
        <v>86</v>
      </c>
      <c r="L135" s="4" t="s">
        <v>102</v>
      </c>
      <c r="M135" s="4" t="s">
        <v>113</v>
      </c>
      <c r="N135" s="4" t="s">
        <v>133</v>
      </c>
      <c r="O135" s="4">
        <v>24</v>
      </c>
      <c r="P135" s="6">
        <v>433</v>
      </c>
      <c r="Q135" s="7">
        <v>0.08</v>
      </c>
      <c r="R135" s="6">
        <v>9560.64</v>
      </c>
      <c r="S135" s="6">
        <v>6405.63</v>
      </c>
      <c r="T135" s="6">
        <v>3155.01</v>
      </c>
      <c r="U135" s="8">
        <v>0.33</v>
      </c>
      <c r="V135" s="4" t="s">
        <v>40</v>
      </c>
      <c r="W135" s="4" t="s">
        <v>87</v>
      </c>
      <c r="X135" s="4">
        <v>0</v>
      </c>
      <c r="Y135" s="4" t="s">
        <v>88</v>
      </c>
    </row>
    <row r="136" spans="1:25" x14ac:dyDescent="0.25">
      <c r="A136" s="4" t="s">
        <v>392</v>
      </c>
      <c r="B136" s="5" t="s">
        <v>234</v>
      </c>
      <c r="C136" s="4" t="s">
        <v>29</v>
      </c>
      <c r="D136" s="4" t="s">
        <v>30</v>
      </c>
      <c r="E136" s="4">
        <v>2025</v>
      </c>
      <c r="F136" s="4" t="s">
        <v>45</v>
      </c>
      <c r="G136" s="4" t="s">
        <v>110</v>
      </c>
      <c r="H136" s="4" t="s">
        <v>111</v>
      </c>
      <c r="I136" s="4" t="s">
        <v>48</v>
      </c>
      <c r="J136" s="4" t="s">
        <v>49</v>
      </c>
      <c r="K136" s="4" t="s">
        <v>64</v>
      </c>
      <c r="L136" s="4" t="s">
        <v>51</v>
      </c>
      <c r="M136" s="4" t="s">
        <v>65</v>
      </c>
      <c r="N136" s="4" t="s">
        <v>66</v>
      </c>
      <c r="O136" s="4">
        <v>3</v>
      </c>
      <c r="P136" s="6">
        <v>53150</v>
      </c>
      <c r="Q136" s="7">
        <v>0.02</v>
      </c>
      <c r="R136" s="6">
        <v>156261</v>
      </c>
      <c r="S136" s="6">
        <v>132821.85</v>
      </c>
      <c r="T136" s="6">
        <v>23439.15</v>
      </c>
      <c r="U136" s="8">
        <v>0.15</v>
      </c>
      <c r="V136" s="4" t="s">
        <v>54</v>
      </c>
      <c r="W136" s="4" t="s">
        <v>87</v>
      </c>
      <c r="X136" s="4">
        <v>0</v>
      </c>
      <c r="Y136" s="4" t="s">
        <v>88</v>
      </c>
    </row>
    <row r="137" spans="1:25" x14ac:dyDescent="0.25">
      <c r="A137" s="4" t="s">
        <v>393</v>
      </c>
      <c r="B137" s="5" t="s">
        <v>348</v>
      </c>
      <c r="C137" s="4" t="s">
        <v>71</v>
      </c>
      <c r="D137" s="4" t="s">
        <v>68</v>
      </c>
      <c r="E137" s="4">
        <v>2025</v>
      </c>
      <c r="F137" s="4" t="s">
        <v>99</v>
      </c>
      <c r="G137" s="4" t="s">
        <v>100</v>
      </c>
      <c r="H137" s="4" t="s">
        <v>101</v>
      </c>
      <c r="I137" s="4" t="s">
        <v>34</v>
      </c>
      <c r="J137" s="4" t="s">
        <v>35</v>
      </c>
      <c r="K137" s="4" t="s">
        <v>86</v>
      </c>
      <c r="L137" s="4" t="s">
        <v>51</v>
      </c>
      <c r="M137" s="4" t="s">
        <v>65</v>
      </c>
      <c r="N137" s="4" t="s">
        <v>247</v>
      </c>
      <c r="O137" s="4">
        <v>6</v>
      </c>
      <c r="P137" s="6">
        <v>55461</v>
      </c>
      <c r="Q137" s="7">
        <v>0.17</v>
      </c>
      <c r="R137" s="6">
        <v>276195.78000000003</v>
      </c>
      <c r="S137" s="6">
        <v>232004.46</v>
      </c>
      <c r="T137" s="6">
        <v>44191.32</v>
      </c>
      <c r="U137" s="8">
        <v>0.16</v>
      </c>
      <c r="V137" s="4" t="s">
        <v>67</v>
      </c>
      <c r="W137" s="4" t="s">
        <v>55</v>
      </c>
      <c r="X137" s="4">
        <v>2</v>
      </c>
      <c r="Y137" s="4" t="s">
        <v>123</v>
      </c>
    </row>
    <row r="138" spans="1:25" x14ac:dyDescent="0.25">
      <c r="A138" s="4" t="s">
        <v>394</v>
      </c>
      <c r="B138" s="5" t="s">
        <v>395</v>
      </c>
      <c r="C138" s="4" t="s">
        <v>136</v>
      </c>
      <c r="D138" s="4" t="s">
        <v>60</v>
      </c>
      <c r="E138" s="4">
        <v>2025</v>
      </c>
      <c r="F138" s="4" t="s">
        <v>99</v>
      </c>
      <c r="G138" s="4" t="s">
        <v>252</v>
      </c>
      <c r="H138" s="4" t="s">
        <v>253</v>
      </c>
      <c r="I138" s="4" t="s">
        <v>34</v>
      </c>
      <c r="J138" s="4" t="s">
        <v>35</v>
      </c>
      <c r="K138" s="4" t="s">
        <v>74</v>
      </c>
      <c r="L138" s="4" t="s">
        <v>51</v>
      </c>
      <c r="M138" s="4" t="s">
        <v>65</v>
      </c>
      <c r="N138" s="4" t="s">
        <v>247</v>
      </c>
      <c r="O138" s="4">
        <v>4</v>
      </c>
      <c r="P138" s="6">
        <v>56195</v>
      </c>
      <c r="Q138" s="7">
        <v>0.1</v>
      </c>
      <c r="R138" s="6">
        <v>202302</v>
      </c>
      <c r="S138" s="6">
        <v>169933.68</v>
      </c>
      <c r="T138" s="6">
        <v>32368.32</v>
      </c>
      <c r="U138" s="8">
        <v>0.16</v>
      </c>
      <c r="V138" s="4" t="s">
        <v>67</v>
      </c>
      <c r="W138" s="4" t="s">
        <v>41</v>
      </c>
      <c r="X138" s="4">
        <v>3</v>
      </c>
      <c r="Y138" s="4" t="s">
        <v>106</v>
      </c>
    </row>
    <row r="139" spans="1:25" x14ac:dyDescent="0.25">
      <c r="A139" s="4" t="s">
        <v>396</v>
      </c>
      <c r="B139" s="5" t="s">
        <v>397</v>
      </c>
      <c r="C139" s="4" t="s">
        <v>153</v>
      </c>
      <c r="D139" s="4" t="s">
        <v>68</v>
      </c>
      <c r="E139" s="4">
        <v>2025</v>
      </c>
      <c r="F139" s="4" t="s">
        <v>31</v>
      </c>
      <c r="G139" s="4" t="s">
        <v>188</v>
      </c>
      <c r="H139" s="4" t="s">
        <v>189</v>
      </c>
      <c r="I139" s="4" t="s">
        <v>48</v>
      </c>
      <c r="J139" s="4" t="s">
        <v>63</v>
      </c>
      <c r="K139" s="4" t="s">
        <v>74</v>
      </c>
      <c r="L139" s="4" t="s">
        <v>51</v>
      </c>
      <c r="M139" s="4" t="s">
        <v>128</v>
      </c>
      <c r="N139" s="4" t="s">
        <v>228</v>
      </c>
      <c r="O139" s="4">
        <v>3</v>
      </c>
      <c r="P139" s="6">
        <v>1483</v>
      </c>
      <c r="Q139" s="7">
        <v>0.04</v>
      </c>
      <c r="R139" s="6">
        <v>4271.04</v>
      </c>
      <c r="S139" s="6">
        <v>2904.31</v>
      </c>
      <c r="T139" s="6">
        <v>1366.73</v>
      </c>
      <c r="U139" s="8">
        <v>0.32</v>
      </c>
      <c r="V139" s="4" t="s">
        <v>78</v>
      </c>
      <c r="W139" s="4" t="s">
        <v>41</v>
      </c>
      <c r="X139" s="4">
        <v>7</v>
      </c>
      <c r="Y139" s="4" t="s">
        <v>88</v>
      </c>
    </row>
    <row r="140" spans="1:25" x14ac:dyDescent="0.25">
      <c r="A140" s="4" t="s">
        <v>398</v>
      </c>
      <c r="B140" s="5" t="s">
        <v>399</v>
      </c>
      <c r="C140" s="4" t="s">
        <v>117</v>
      </c>
      <c r="D140" s="4" t="s">
        <v>56</v>
      </c>
      <c r="E140" s="4">
        <v>2025</v>
      </c>
      <c r="F140" s="4" t="s">
        <v>91</v>
      </c>
      <c r="G140" s="4" t="s">
        <v>183</v>
      </c>
      <c r="H140" s="4" t="s">
        <v>184</v>
      </c>
      <c r="I140" s="4" t="s">
        <v>48</v>
      </c>
      <c r="J140" s="4" t="s">
        <v>63</v>
      </c>
      <c r="K140" s="4" t="s">
        <v>120</v>
      </c>
      <c r="L140" s="4" t="s">
        <v>75</v>
      </c>
      <c r="M140" s="4" t="s">
        <v>76</v>
      </c>
      <c r="N140" s="4" t="s">
        <v>77</v>
      </c>
      <c r="O140" s="4">
        <v>3</v>
      </c>
      <c r="P140" s="6">
        <v>5335</v>
      </c>
      <c r="Q140" s="7">
        <v>0.09</v>
      </c>
      <c r="R140" s="6">
        <v>14564.55</v>
      </c>
      <c r="S140" s="6">
        <v>10340.83</v>
      </c>
      <c r="T140" s="6">
        <v>4223.72</v>
      </c>
      <c r="U140" s="8">
        <v>0.28999999999999998</v>
      </c>
      <c r="V140" s="4" t="s">
        <v>40</v>
      </c>
      <c r="W140" s="4" t="s">
        <v>41</v>
      </c>
      <c r="X140" s="4">
        <v>3</v>
      </c>
      <c r="Y140" s="4" t="s">
        <v>42</v>
      </c>
    </row>
    <row r="141" spans="1:25" x14ac:dyDescent="0.25">
      <c r="A141" s="4" t="s">
        <v>400</v>
      </c>
      <c r="B141" s="5" t="s">
        <v>240</v>
      </c>
      <c r="C141" s="4" t="s">
        <v>71</v>
      </c>
      <c r="D141" s="4" t="s">
        <v>68</v>
      </c>
      <c r="E141" s="4">
        <v>2025</v>
      </c>
      <c r="F141" s="4" t="s">
        <v>91</v>
      </c>
      <c r="G141" s="4" t="s">
        <v>148</v>
      </c>
      <c r="H141" s="4" t="s">
        <v>149</v>
      </c>
      <c r="I141" s="4" t="s">
        <v>48</v>
      </c>
      <c r="J141" s="4" t="s">
        <v>49</v>
      </c>
      <c r="K141" s="4" t="s">
        <v>74</v>
      </c>
      <c r="L141" s="4" t="s">
        <v>51</v>
      </c>
      <c r="M141" s="4" t="s">
        <v>52</v>
      </c>
      <c r="N141" s="4" t="s">
        <v>53</v>
      </c>
      <c r="O141" s="4">
        <v>4</v>
      </c>
      <c r="P141" s="6">
        <v>64081</v>
      </c>
      <c r="Q141" s="7">
        <v>7.0000000000000007E-2</v>
      </c>
      <c r="R141" s="6">
        <v>238381.32</v>
      </c>
      <c r="S141" s="6">
        <v>209775.56</v>
      </c>
      <c r="T141" s="6">
        <v>28605.759999999998</v>
      </c>
      <c r="U141" s="8">
        <v>0.12</v>
      </c>
      <c r="V141" s="4" t="s">
        <v>78</v>
      </c>
      <c r="W141" s="4" t="s">
        <v>41</v>
      </c>
      <c r="X141" s="4">
        <v>7</v>
      </c>
      <c r="Y141" s="4" t="s">
        <v>42</v>
      </c>
    </row>
    <row r="142" spans="1:25" x14ac:dyDescent="0.25">
      <c r="A142" s="4" t="s">
        <v>401</v>
      </c>
      <c r="B142" s="5" t="s">
        <v>213</v>
      </c>
      <c r="C142" s="4" t="s">
        <v>192</v>
      </c>
      <c r="D142" s="4" t="s">
        <v>30</v>
      </c>
      <c r="E142" s="4">
        <v>2025</v>
      </c>
      <c r="F142" s="4" t="s">
        <v>99</v>
      </c>
      <c r="G142" s="4" t="s">
        <v>118</v>
      </c>
      <c r="H142" s="4" t="s">
        <v>196</v>
      </c>
      <c r="I142" s="4" t="s">
        <v>34</v>
      </c>
      <c r="J142" s="4" t="s">
        <v>63</v>
      </c>
      <c r="K142" s="4" t="s">
        <v>86</v>
      </c>
      <c r="L142" s="4" t="s">
        <v>102</v>
      </c>
      <c r="M142" s="4" t="s">
        <v>103</v>
      </c>
      <c r="N142" s="4" t="s">
        <v>104</v>
      </c>
      <c r="O142" s="4">
        <v>21</v>
      </c>
      <c r="P142" s="6">
        <v>103</v>
      </c>
      <c r="Q142" s="7">
        <v>0.14000000000000001</v>
      </c>
      <c r="R142" s="6">
        <v>1860.18</v>
      </c>
      <c r="S142" s="6">
        <v>1190.52</v>
      </c>
      <c r="T142" s="6">
        <v>669.66</v>
      </c>
      <c r="U142" s="8">
        <v>0.36</v>
      </c>
      <c r="V142" s="4" t="s">
        <v>54</v>
      </c>
      <c r="W142" s="4" t="s">
        <v>87</v>
      </c>
      <c r="X142" s="4">
        <v>0</v>
      </c>
      <c r="Y142" s="4" t="s">
        <v>42</v>
      </c>
    </row>
    <row r="143" spans="1:25" x14ac:dyDescent="0.25">
      <c r="A143" s="4" t="s">
        <v>402</v>
      </c>
      <c r="B143" s="5" t="s">
        <v>199</v>
      </c>
      <c r="C143" s="4" t="s">
        <v>117</v>
      </c>
      <c r="D143" s="4" t="s">
        <v>56</v>
      </c>
      <c r="E143" s="4">
        <v>2025</v>
      </c>
      <c r="F143" s="4" t="s">
        <v>31</v>
      </c>
      <c r="G143" s="4" t="s">
        <v>61</v>
      </c>
      <c r="H143" s="4" t="s">
        <v>175</v>
      </c>
      <c r="I143" s="4" t="s">
        <v>94</v>
      </c>
      <c r="J143" s="4" t="s">
        <v>63</v>
      </c>
      <c r="K143" s="4" t="s">
        <v>144</v>
      </c>
      <c r="L143" s="4" t="s">
        <v>37</v>
      </c>
      <c r="M143" s="4" t="s">
        <v>80</v>
      </c>
      <c r="N143" s="4" t="s">
        <v>150</v>
      </c>
      <c r="O143" s="4">
        <v>2</v>
      </c>
      <c r="P143" s="6">
        <v>1421</v>
      </c>
      <c r="Q143" s="7">
        <v>0.1</v>
      </c>
      <c r="R143" s="6">
        <v>2557.8000000000002</v>
      </c>
      <c r="S143" s="6">
        <v>1534.68</v>
      </c>
      <c r="T143" s="6">
        <v>1023.12</v>
      </c>
      <c r="U143" s="8">
        <v>0.4</v>
      </c>
      <c r="V143" s="4" t="s">
        <v>78</v>
      </c>
      <c r="W143" s="4" t="s">
        <v>87</v>
      </c>
      <c r="X143" s="4">
        <v>0</v>
      </c>
      <c r="Y143" s="4" t="s">
        <v>106</v>
      </c>
    </row>
    <row r="144" spans="1:25" x14ac:dyDescent="0.25">
      <c r="A144" s="4" t="s">
        <v>403</v>
      </c>
      <c r="B144" s="5" t="s">
        <v>345</v>
      </c>
      <c r="C144" s="4" t="s">
        <v>153</v>
      </c>
      <c r="D144" s="4" t="s">
        <v>68</v>
      </c>
      <c r="E144" s="4">
        <v>2025</v>
      </c>
      <c r="F144" s="4" t="s">
        <v>45</v>
      </c>
      <c r="G144" s="4" t="s">
        <v>167</v>
      </c>
      <c r="H144" s="4" t="s">
        <v>324</v>
      </c>
      <c r="I144" s="4" t="s">
        <v>94</v>
      </c>
      <c r="J144" s="4" t="s">
        <v>63</v>
      </c>
      <c r="K144" s="4" t="s">
        <v>132</v>
      </c>
      <c r="L144" s="4" t="s">
        <v>102</v>
      </c>
      <c r="M144" s="4" t="s">
        <v>103</v>
      </c>
      <c r="N144" s="4" t="s">
        <v>238</v>
      </c>
      <c r="O144" s="4">
        <v>26</v>
      </c>
      <c r="P144" s="6">
        <v>120</v>
      </c>
      <c r="Q144" s="7">
        <v>0.1</v>
      </c>
      <c r="R144" s="6">
        <v>2808</v>
      </c>
      <c r="S144" s="6">
        <v>1740.96</v>
      </c>
      <c r="T144" s="6">
        <v>1067.04</v>
      </c>
      <c r="U144" s="8">
        <v>0.38</v>
      </c>
      <c r="V144" s="4" t="s">
        <v>54</v>
      </c>
      <c r="W144" s="4" t="s">
        <v>87</v>
      </c>
      <c r="X144" s="4">
        <v>0</v>
      </c>
      <c r="Y144" s="4" t="s">
        <v>42</v>
      </c>
    </row>
    <row r="145" spans="1:25" x14ac:dyDescent="0.25">
      <c r="A145" s="4" t="s">
        <v>404</v>
      </c>
      <c r="B145" s="5" t="s">
        <v>405</v>
      </c>
      <c r="C145" s="4" t="s">
        <v>109</v>
      </c>
      <c r="D145" s="4" t="s">
        <v>60</v>
      </c>
      <c r="E145" s="4">
        <v>2025</v>
      </c>
      <c r="F145" s="4" t="s">
        <v>99</v>
      </c>
      <c r="G145" s="4" t="s">
        <v>214</v>
      </c>
      <c r="H145" s="4" t="s">
        <v>325</v>
      </c>
      <c r="I145" s="4" t="s">
        <v>34</v>
      </c>
      <c r="J145" s="4" t="s">
        <v>49</v>
      </c>
      <c r="K145" s="4" t="s">
        <v>95</v>
      </c>
      <c r="L145" s="4" t="s">
        <v>102</v>
      </c>
      <c r="M145" s="4" t="s">
        <v>103</v>
      </c>
      <c r="N145" s="4" t="s">
        <v>104</v>
      </c>
      <c r="O145" s="4">
        <v>13</v>
      </c>
      <c r="P145" s="6">
        <v>156</v>
      </c>
      <c r="Q145" s="7">
        <v>0.12</v>
      </c>
      <c r="R145" s="6">
        <v>1784.64</v>
      </c>
      <c r="S145" s="6">
        <v>1142.17</v>
      </c>
      <c r="T145" s="6">
        <v>642.47</v>
      </c>
      <c r="U145" s="8">
        <v>0.36</v>
      </c>
      <c r="V145" s="4" t="s">
        <v>78</v>
      </c>
      <c r="W145" s="4" t="s">
        <v>87</v>
      </c>
      <c r="X145" s="4">
        <v>0</v>
      </c>
      <c r="Y145" s="4" t="s">
        <v>42</v>
      </c>
    </row>
    <row r="146" spans="1:25" x14ac:dyDescent="0.25">
      <c r="A146" s="4" t="s">
        <v>406</v>
      </c>
      <c r="B146" s="5" t="s">
        <v>84</v>
      </c>
      <c r="C146" s="4" t="s">
        <v>85</v>
      </c>
      <c r="D146" s="4" t="s">
        <v>30</v>
      </c>
      <c r="E146" s="4">
        <v>2025</v>
      </c>
      <c r="F146" s="4" t="s">
        <v>99</v>
      </c>
      <c r="G146" s="4" t="s">
        <v>118</v>
      </c>
      <c r="H146" s="4" t="s">
        <v>119</v>
      </c>
      <c r="I146" s="4" t="s">
        <v>48</v>
      </c>
      <c r="J146" s="4" t="s">
        <v>49</v>
      </c>
      <c r="K146" s="4" t="s">
        <v>36</v>
      </c>
      <c r="L146" s="4" t="s">
        <v>51</v>
      </c>
      <c r="M146" s="4" t="s">
        <v>52</v>
      </c>
      <c r="N146" s="4" t="s">
        <v>145</v>
      </c>
      <c r="O146" s="4">
        <v>2</v>
      </c>
      <c r="P146" s="6">
        <v>24065</v>
      </c>
      <c r="Q146" s="7">
        <v>0.05</v>
      </c>
      <c r="R146" s="6">
        <v>45723.5</v>
      </c>
      <c r="S146" s="6">
        <v>37493.269999999997</v>
      </c>
      <c r="T146" s="6">
        <v>8230.23</v>
      </c>
      <c r="U146" s="8">
        <v>0.18</v>
      </c>
      <c r="V146" s="4" t="s">
        <v>40</v>
      </c>
      <c r="W146" s="4" t="s">
        <v>55</v>
      </c>
      <c r="X146" s="4">
        <v>1</v>
      </c>
      <c r="Y146" s="4" t="s">
        <v>88</v>
      </c>
    </row>
    <row r="147" spans="1:25" x14ac:dyDescent="0.25">
      <c r="A147" s="4" t="s">
        <v>407</v>
      </c>
      <c r="B147" s="5" t="s">
        <v>408</v>
      </c>
      <c r="C147" s="4" t="s">
        <v>109</v>
      </c>
      <c r="D147" s="4" t="s">
        <v>60</v>
      </c>
      <c r="E147" s="4">
        <v>2025</v>
      </c>
      <c r="F147" s="4" t="s">
        <v>45</v>
      </c>
      <c r="G147" s="4" t="s">
        <v>46</v>
      </c>
      <c r="H147" s="4" t="s">
        <v>47</v>
      </c>
      <c r="I147" s="4" t="s">
        <v>48</v>
      </c>
      <c r="J147" s="4" t="s">
        <v>49</v>
      </c>
      <c r="K147" s="4" t="s">
        <v>36</v>
      </c>
      <c r="L147" s="4" t="s">
        <v>51</v>
      </c>
      <c r="M147" s="4" t="s">
        <v>65</v>
      </c>
      <c r="N147" s="4" t="s">
        <v>247</v>
      </c>
      <c r="O147" s="4">
        <v>6</v>
      </c>
      <c r="P147" s="6">
        <v>59510</v>
      </c>
      <c r="Q147" s="7">
        <v>0</v>
      </c>
      <c r="R147" s="6">
        <v>357060</v>
      </c>
      <c r="S147" s="6">
        <v>299930.40000000002</v>
      </c>
      <c r="T147" s="6">
        <v>57129.599999999999</v>
      </c>
      <c r="U147" s="8">
        <v>0.16</v>
      </c>
      <c r="V147" s="4" t="s">
        <v>105</v>
      </c>
      <c r="W147" s="4" t="s">
        <v>55</v>
      </c>
      <c r="X147" s="4">
        <v>2</v>
      </c>
      <c r="Y147" s="4" t="s">
        <v>88</v>
      </c>
    </row>
    <row r="148" spans="1:25" x14ac:dyDescent="0.25">
      <c r="A148" s="4" t="s">
        <v>409</v>
      </c>
      <c r="B148" s="5" t="s">
        <v>300</v>
      </c>
      <c r="C148" s="4" t="s">
        <v>109</v>
      </c>
      <c r="D148" s="4" t="s">
        <v>60</v>
      </c>
      <c r="E148" s="4">
        <v>2025</v>
      </c>
      <c r="F148" s="4" t="s">
        <v>91</v>
      </c>
      <c r="G148" s="4" t="s">
        <v>148</v>
      </c>
      <c r="H148" s="4" t="s">
        <v>149</v>
      </c>
      <c r="I148" s="4" t="s">
        <v>48</v>
      </c>
      <c r="J148" s="4" t="s">
        <v>63</v>
      </c>
      <c r="K148" s="4" t="s">
        <v>156</v>
      </c>
      <c r="L148" s="4" t="s">
        <v>51</v>
      </c>
      <c r="M148" s="4" t="s">
        <v>128</v>
      </c>
      <c r="N148" s="4" t="s">
        <v>228</v>
      </c>
      <c r="O148" s="4">
        <v>2</v>
      </c>
      <c r="P148" s="6">
        <v>956</v>
      </c>
      <c r="Q148" s="7">
        <v>0.08</v>
      </c>
      <c r="R148" s="6">
        <v>1759.04</v>
      </c>
      <c r="S148" s="6">
        <v>1196.1500000000001</v>
      </c>
      <c r="T148" s="6">
        <v>562.89</v>
      </c>
      <c r="U148" s="8">
        <v>0.32</v>
      </c>
      <c r="V148" s="4" t="s">
        <v>78</v>
      </c>
      <c r="W148" s="4" t="s">
        <v>87</v>
      </c>
      <c r="X148" s="4">
        <v>0</v>
      </c>
      <c r="Y148" s="4" t="s">
        <v>106</v>
      </c>
    </row>
    <row r="149" spans="1:25" x14ac:dyDescent="0.25">
      <c r="A149" s="4" t="s">
        <v>410</v>
      </c>
      <c r="B149" s="5" t="s">
        <v>411</v>
      </c>
      <c r="C149" s="4" t="s">
        <v>117</v>
      </c>
      <c r="D149" s="4" t="s">
        <v>56</v>
      </c>
      <c r="E149" s="4">
        <v>2025</v>
      </c>
      <c r="F149" s="4" t="s">
        <v>99</v>
      </c>
      <c r="G149" s="4" t="s">
        <v>214</v>
      </c>
      <c r="H149" s="4" t="s">
        <v>215</v>
      </c>
      <c r="I149" s="4" t="s">
        <v>34</v>
      </c>
      <c r="J149" s="4" t="s">
        <v>35</v>
      </c>
      <c r="K149" s="4" t="s">
        <v>64</v>
      </c>
      <c r="L149" s="4" t="s">
        <v>102</v>
      </c>
      <c r="M149" s="4" t="s">
        <v>113</v>
      </c>
      <c r="N149" s="4" t="s">
        <v>133</v>
      </c>
      <c r="O149" s="4">
        <v>8</v>
      </c>
      <c r="P149" s="6">
        <v>389</v>
      </c>
      <c r="Q149" s="7">
        <v>0.11</v>
      </c>
      <c r="R149" s="6">
        <v>2769.68</v>
      </c>
      <c r="S149" s="6">
        <v>1855.69</v>
      </c>
      <c r="T149" s="6">
        <v>913.99</v>
      </c>
      <c r="U149" s="8">
        <v>0.33</v>
      </c>
      <c r="V149" s="4" t="s">
        <v>105</v>
      </c>
      <c r="W149" s="4" t="s">
        <v>41</v>
      </c>
      <c r="X149" s="4">
        <v>7</v>
      </c>
      <c r="Y149" s="4" t="s">
        <v>42</v>
      </c>
    </row>
    <row r="150" spans="1:25" x14ac:dyDescent="0.25">
      <c r="A150" s="4" t="s">
        <v>412</v>
      </c>
      <c r="B150" s="5" t="s">
        <v>320</v>
      </c>
      <c r="C150" s="4" t="s">
        <v>153</v>
      </c>
      <c r="D150" s="4" t="s">
        <v>68</v>
      </c>
      <c r="E150" s="4">
        <v>2025</v>
      </c>
      <c r="F150" s="4" t="s">
        <v>31</v>
      </c>
      <c r="G150" s="4" t="s">
        <v>188</v>
      </c>
      <c r="H150" s="4" t="s">
        <v>189</v>
      </c>
      <c r="I150" s="4" t="s">
        <v>94</v>
      </c>
      <c r="J150" s="4" t="s">
        <v>49</v>
      </c>
      <c r="K150" s="4" t="s">
        <v>74</v>
      </c>
      <c r="L150" s="4" t="s">
        <v>75</v>
      </c>
      <c r="M150" s="4" t="s">
        <v>121</v>
      </c>
      <c r="N150" s="4" t="s">
        <v>122</v>
      </c>
      <c r="O150" s="4">
        <v>1</v>
      </c>
      <c r="P150" s="6">
        <v>5850</v>
      </c>
      <c r="Q150" s="7">
        <v>0.12</v>
      </c>
      <c r="R150" s="6">
        <v>5148</v>
      </c>
      <c r="S150" s="6">
        <v>3706.56</v>
      </c>
      <c r="T150" s="6">
        <v>1441.44</v>
      </c>
      <c r="U150" s="8">
        <v>0.28000000000000003</v>
      </c>
      <c r="V150" s="4" t="s">
        <v>40</v>
      </c>
      <c r="W150" s="4" t="s">
        <v>87</v>
      </c>
      <c r="X150" s="4">
        <v>0</v>
      </c>
      <c r="Y150" s="4" t="s">
        <v>42</v>
      </c>
    </row>
    <row r="151" spans="1:25" x14ac:dyDescent="0.25">
      <c r="A151" s="4" t="s">
        <v>413</v>
      </c>
      <c r="B151" s="5" t="s">
        <v>414</v>
      </c>
      <c r="C151" s="4" t="s">
        <v>109</v>
      </c>
      <c r="D151" s="4" t="s">
        <v>60</v>
      </c>
      <c r="E151" s="4">
        <v>2025</v>
      </c>
      <c r="F151" s="4" t="s">
        <v>91</v>
      </c>
      <c r="G151" s="4" t="s">
        <v>148</v>
      </c>
      <c r="H151" s="4" t="s">
        <v>149</v>
      </c>
      <c r="I151" s="4" t="s">
        <v>94</v>
      </c>
      <c r="J151" s="4" t="s">
        <v>35</v>
      </c>
      <c r="K151" s="4" t="s">
        <v>144</v>
      </c>
      <c r="L151" s="4" t="s">
        <v>75</v>
      </c>
      <c r="M151" s="4" t="s">
        <v>76</v>
      </c>
      <c r="N151" s="4" t="s">
        <v>77</v>
      </c>
      <c r="O151" s="4">
        <v>3</v>
      </c>
      <c r="P151" s="6">
        <v>5921</v>
      </c>
      <c r="Q151" s="7">
        <v>0.13</v>
      </c>
      <c r="R151" s="6">
        <v>15453.81</v>
      </c>
      <c r="S151" s="6">
        <v>10972.21</v>
      </c>
      <c r="T151" s="6">
        <v>4481.6000000000004</v>
      </c>
      <c r="U151" s="8">
        <v>0.28999999999999998</v>
      </c>
      <c r="V151" s="4" t="s">
        <v>40</v>
      </c>
      <c r="W151" s="4" t="s">
        <v>41</v>
      </c>
      <c r="X151" s="4">
        <v>3</v>
      </c>
      <c r="Y151" s="4" t="s">
        <v>42</v>
      </c>
    </row>
    <row r="152" spans="1:25" x14ac:dyDescent="0.25">
      <c r="A152" s="4" t="s">
        <v>415</v>
      </c>
      <c r="B152" s="5" t="s">
        <v>416</v>
      </c>
      <c r="C152" s="4" t="s">
        <v>29</v>
      </c>
      <c r="D152" s="4" t="s">
        <v>30</v>
      </c>
      <c r="E152" s="4">
        <v>2025</v>
      </c>
      <c r="F152" s="4" t="s">
        <v>91</v>
      </c>
      <c r="G152" s="4" t="s">
        <v>92</v>
      </c>
      <c r="H152" s="4" t="s">
        <v>180</v>
      </c>
      <c r="I152" s="4" t="s">
        <v>34</v>
      </c>
      <c r="J152" s="4" t="s">
        <v>63</v>
      </c>
      <c r="K152" s="4" t="s">
        <v>64</v>
      </c>
      <c r="L152" s="4" t="s">
        <v>51</v>
      </c>
      <c r="M152" s="4" t="s">
        <v>52</v>
      </c>
      <c r="N152" s="4" t="s">
        <v>145</v>
      </c>
      <c r="O152" s="4">
        <v>4</v>
      </c>
      <c r="P152" s="6">
        <v>23000</v>
      </c>
      <c r="Q152" s="7">
        <v>0.08</v>
      </c>
      <c r="R152" s="6">
        <v>84640</v>
      </c>
      <c r="S152" s="6">
        <v>69404.800000000003</v>
      </c>
      <c r="T152" s="6">
        <v>15235.2</v>
      </c>
      <c r="U152" s="8">
        <v>0.18</v>
      </c>
      <c r="V152" s="4" t="s">
        <v>54</v>
      </c>
      <c r="W152" s="4" t="s">
        <v>55</v>
      </c>
      <c r="X152" s="4">
        <v>3</v>
      </c>
      <c r="Y152" s="4" t="s">
        <v>88</v>
      </c>
    </row>
    <row r="153" spans="1:25" x14ac:dyDescent="0.25">
      <c r="A153" s="4" t="s">
        <v>417</v>
      </c>
      <c r="B153" s="5" t="s">
        <v>377</v>
      </c>
      <c r="C153" s="4" t="s">
        <v>59</v>
      </c>
      <c r="D153" s="4" t="s">
        <v>60</v>
      </c>
      <c r="E153" s="4">
        <v>2025</v>
      </c>
      <c r="F153" s="4" t="s">
        <v>45</v>
      </c>
      <c r="G153" s="4" t="s">
        <v>110</v>
      </c>
      <c r="H153" s="4" t="s">
        <v>160</v>
      </c>
      <c r="I153" s="4" t="s">
        <v>34</v>
      </c>
      <c r="J153" s="4" t="s">
        <v>49</v>
      </c>
      <c r="K153" s="4" t="s">
        <v>86</v>
      </c>
      <c r="L153" s="4" t="s">
        <v>37</v>
      </c>
      <c r="M153" s="4" t="s">
        <v>80</v>
      </c>
      <c r="N153" s="4" t="s">
        <v>81</v>
      </c>
      <c r="O153" s="4">
        <v>9</v>
      </c>
      <c r="P153" s="6">
        <v>1978</v>
      </c>
      <c r="Q153" s="7">
        <v>0.14000000000000001</v>
      </c>
      <c r="R153" s="6">
        <v>15309.72</v>
      </c>
      <c r="S153" s="6">
        <v>8879.64</v>
      </c>
      <c r="T153" s="6">
        <v>6430.08</v>
      </c>
      <c r="U153" s="8">
        <v>0.42</v>
      </c>
      <c r="V153" s="4" t="s">
        <v>40</v>
      </c>
      <c r="W153" s="4" t="s">
        <v>41</v>
      </c>
      <c r="X153" s="4">
        <v>3</v>
      </c>
      <c r="Y153" s="4" t="s">
        <v>88</v>
      </c>
    </row>
    <row r="154" spans="1:25" x14ac:dyDescent="0.25">
      <c r="A154" s="4" t="s">
        <v>418</v>
      </c>
      <c r="B154" s="5" t="s">
        <v>419</v>
      </c>
      <c r="C154" s="4" t="s">
        <v>59</v>
      </c>
      <c r="D154" s="4" t="s">
        <v>60</v>
      </c>
      <c r="E154" s="4">
        <v>2025</v>
      </c>
      <c r="F154" s="4" t="s">
        <v>45</v>
      </c>
      <c r="G154" s="4" t="s">
        <v>46</v>
      </c>
      <c r="H154" s="4" t="s">
        <v>47</v>
      </c>
      <c r="I154" s="4" t="s">
        <v>34</v>
      </c>
      <c r="J154" s="4" t="s">
        <v>63</v>
      </c>
      <c r="K154" s="4" t="s">
        <v>156</v>
      </c>
      <c r="L154" s="4" t="s">
        <v>51</v>
      </c>
      <c r="M154" s="4" t="s">
        <v>52</v>
      </c>
      <c r="N154" s="4" t="s">
        <v>53</v>
      </c>
      <c r="O154" s="4">
        <v>6</v>
      </c>
      <c r="P154" s="6">
        <v>70732</v>
      </c>
      <c r="Q154" s="7">
        <v>0.12</v>
      </c>
      <c r="R154" s="6">
        <v>373464.96</v>
      </c>
      <c r="S154" s="6">
        <v>328649.15999999997</v>
      </c>
      <c r="T154" s="6">
        <v>44815.8</v>
      </c>
      <c r="U154" s="8">
        <v>0.12</v>
      </c>
      <c r="V154" s="4" t="s">
        <v>40</v>
      </c>
      <c r="W154" s="4" t="s">
        <v>87</v>
      </c>
      <c r="X154" s="4">
        <v>0</v>
      </c>
      <c r="Y154" s="4" t="s">
        <v>88</v>
      </c>
    </row>
    <row r="155" spans="1:25" x14ac:dyDescent="0.25">
      <c r="A155" s="4" t="s">
        <v>420</v>
      </c>
      <c r="B155" s="5" t="s">
        <v>421</v>
      </c>
      <c r="C155" s="4" t="s">
        <v>85</v>
      </c>
      <c r="D155" s="4" t="s">
        <v>30</v>
      </c>
      <c r="E155" s="4">
        <v>2025</v>
      </c>
      <c r="F155" s="4" t="s">
        <v>31</v>
      </c>
      <c r="G155" s="4" t="s">
        <v>188</v>
      </c>
      <c r="H155" s="4" t="s">
        <v>189</v>
      </c>
      <c r="I155" s="4" t="s">
        <v>94</v>
      </c>
      <c r="J155" s="4" t="s">
        <v>49</v>
      </c>
      <c r="K155" s="4" t="s">
        <v>36</v>
      </c>
      <c r="L155" s="4" t="s">
        <v>102</v>
      </c>
      <c r="M155" s="4" t="s">
        <v>113</v>
      </c>
      <c r="N155" s="4" t="s">
        <v>133</v>
      </c>
      <c r="O155" s="4">
        <v>17</v>
      </c>
      <c r="P155" s="6">
        <v>397</v>
      </c>
      <c r="Q155" s="7">
        <v>0.15</v>
      </c>
      <c r="R155" s="6">
        <v>5736.65</v>
      </c>
      <c r="S155" s="6">
        <v>3843.56</v>
      </c>
      <c r="T155" s="6">
        <v>1893.09</v>
      </c>
      <c r="U155" s="8">
        <v>0.33</v>
      </c>
      <c r="V155" s="4" t="s">
        <v>54</v>
      </c>
      <c r="W155" s="4" t="s">
        <v>41</v>
      </c>
      <c r="X155" s="4">
        <v>5</v>
      </c>
      <c r="Y155" s="4" t="s">
        <v>123</v>
      </c>
    </row>
    <row r="156" spans="1:25" x14ac:dyDescent="0.25">
      <c r="A156" s="4" t="s">
        <v>422</v>
      </c>
      <c r="B156" s="5" t="s">
        <v>330</v>
      </c>
      <c r="C156" s="4" t="s">
        <v>109</v>
      </c>
      <c r="D156" s="4" t="s">
        <v>60</v>
      </c>
      <c r="E156" s="4">
        <v>2025</v>
      </c>
      <c r="F156" s="4" t="s">
        <v>99</v>
      </c>
      <c r="G156" s="4" t="s">
        <v>118</v>
      </c>
      <c r="H156" s="4" t="s">
        <v>119</v>
      </c>
      <c r="I156" s="4" t="s">
        <v>34</v>
      </c>
      <c r="J156" s="4" t="s">
        <v>63</v>
      </c>
      <c r="K156" s="4" t="s">
        <v>132</v>
      </c>
      <c r="L156" s="4" t="s">
        <v>37</v>
      </c>
      <c r="M156" s="4" t="s">
        <v>80</v>
      </c>
      <c r="N156" s="4" t="s">
        <v>81</v>
      </c>
      <c r="O156" s="4">
        <v>4</v>
      </c>
      <c r="P156" s="6">
        <v>2107</v>
      </c>
      <c r="Q156" s="7">
        <v>0.13</v>
      </c>
      <c r="R156" s="6">
        <v>7332.36</v>
      </c>
      <c r="S156" s="6">
        <v>4252.7700000000004</v>
      </c>
      <c r="T156" s="6">
        <v>3079.59</v>
      </c>
      <c r="U156" s="8">
        <v>0.42</v>
      </c>
      <c r="V156" s="4" t="s">
        <v>67</v>
      </c>
      <c r="W156" s="4" t="s">
        <v>41</v>
      </c>
      <c r="X156" s="4">
        <v>6</v>
      </c>
      <c r="Y156" s="4" t="s">
        <v>42</v>
      </c>
    </row>
    <row r="157" spans="1:25" x14ac:dyDescent="0.25">
      <c r="A157" s="4" t="s">
        <v>423</v>
      </c>
      <c r="B157" s="5" t="s">
        <v>424</v>
      </c>
      <c r="C157" s="4" t="s">
        <v>159</v>
      </c>
      <c r="D157" s="4" t="s">
        <v>56</v>
      </c>
      <c r="E157" s="4">
        <v>2025</v>
      </c>
      <c r="F157" s="4" t="s">
        <v>99</v>
      </c>
      <c r="G157" s="4" t="s">
        <v>252</v>
      </c>
      <c r="H157" s="4" t="s">
        <v>277</v>
      </c>
      <c r="I157" s="4" t="s">
        <v>48</v>
      </c>
      <c r="J157" s="4" t="s">
        <v>49</v>
      </c>
      <c r="K157" s="4" t="s">
        <v>144</v>
      </c>
      <c r="L157" s="4" t="s">
        <v>37</v>
      </c>
      <c r="M157" s="4" t="s">
        <v>38</v>
      </c>
      <c r="N157" s="4" t="s">
        <v>39</v>
      </c>
      <c r="O157" s="4">
        <v>11</v>
      </c>
      <c r="P157" s="6">
        <v>3606</v>
      </c>
      <c r="Q157" s="7">
        <v>0.06</v>
      </c>
      <c r="R157" s="6">
        <v>37286.04</v>
      </c>
      <c r="S157" s="6">
        <v>21253.040000000001</v>
      </c>
      <c r="T157" s="6">
        <v>16033</v>
      </c>
      <c r="U157" s="8">
        <v>0.43</v>
      </c>
      <c r="V157" s="4" t="s">
        <v>67</v>
      </c>
      <c r="W157" s="4" t="s">
        <v>41</v>
      </c>
      <c r="X157" s="4">
        <v>6</v>
      </c>
      <c r="Y157" s="4" t="s">
        <v>88</v>
      </c>
    </row>
    <row r="158" spans="1:25" x14ac:dyDescent="0.25">
      <c r="A158" s="4" t="s">
        <v>425</v>
      </c>
      <c r="B158" s="5" t="s">
        <v>426</v>
      </c>
      <c r="C158" s="4" t="s">
        <v>136</v>
      </c>
      <c r="D158" s="4" t="s">
        <v>60</v>
      </c>
      <c r="E158" s="4">
        <v>2025</v>
      </c>
      <c r="F158" s="4" t="s">
        <v>31</v>
      </c>
      <c r="G158" s="4" t="s">
        <v>32</v>
      </c>
      <c r="H158" s="4" t="s">
        <v>33</v>
      </c>
      <c r="I158" s="4" t="s">
        <v>48</v>
      </c>
      <c r="J158" s="4" t="s">
        <v>63</v>
      </c>
      <c r="K158" s="4" t="s">
        <v>74</v>
      </c>
      <c r="L158" s="4" t="s">
        <v>75</v>
      </c>
      <c r="M158" s="4" t="s">
        <v>76</v>
      </c>
      <c r="N158" s="4" t="s">
        <v>77</v>
      </c>
      <c r="O158" s="4">
        <v>2</v>
      </c>
      <c r="P158" s="6">
        <v>7461</v>
      </c>
      <c r="Q158" s="7">
        <v>0.04</v>
      </c>
      <c r="R158" s="6">
        <v>14325.12</v>
      </c>
      <c r="S158" s="6">
        <v>10170.84</v>
      </c>
      <c r="T158" s="6">
        <v>4154.28</v>
      </c>
      <c r="U158" s="8">
        <v>0.28999999999999998</v>
      </c>
      <c r="V158" s="4" t="s">
        <v>67</v>
      </c>
      <c r="W158" s="4" t="s">
        <v>55</v>
      </c>
      <c r="X158" s="4">
        <v>2</v>
      </c>
      <c r="Y158" s="4" t="s">
        <v>88</v>
      </c>
    </row>
    <row r="159" spans="1:25" x14ac:dyDescent="0.25">
      <c r="A159" s="4" t="s">
        <v>427</v>
      </c>
      <c r="B159" s="5" t="s">
        <v>44</v>
      </c>
      <c r="C159" s="4" t="s">
        <v>29</v>
      </c>
      <c r="D159" s="4" t="s">
        <v>30</v>
      </c>
      <c r="E159" s="4">
        <v>2025</v>
      </c>
      <c r="F159" s="4" t="s">
        <v>45</v>
      </c>
      <c r="G159" s="4" t="s">
        <v>46</v>
      </c>
      <c r="H159" s="4" t="s">
        <v>244</v>
      </c>
      <c r="I159" s="4" t="s">
        <v>34</v>
      </c>
      <c r="J159" s="4" t="s">
        <v>35</v>
      </c>
      <c r="K159" s="4" t="s">
        <v>50</v>
      </c>
      <c r="L159" s="4" t="s">
        <v>75</v>
      </c>
      <c r="M159" s="4" t="s">
        <v>121</v>
      </c>
      <c r="N159" s="4" t="s">
        <v>122</v>
      </c>
      <c r="O159" s="4">
        <v>2</v>
      </c>
      <c r="P159" s="6">
        <v>6131</v>
      </c>
      <c r="Q159" s="7">
        <v>0.1</v>
      </c>
      <c r="R159" s="6">
        <v>11035.8</v>
      </c>
      <c r="S159" s="6">
        <v>7945.78</v>
      </c>
      <c r="T159" s="6">
        <v>3090.02</v>
      </c>
      <c r="U159" s="8">
        <v>0.28000000000000003</v>
      </c>
      <c r="V159" s="4" t="s">
        <v>40</v>
      </c>
      <c r="W159" s="4" t="s">
        <v>41</v>
      </c>
      <c r="X159" s="4">
        <v>4</v>
      </c>
      <c r="Y159" s="4" t="s">
        <v>42</v>
      </c>
    </row>
    <row r="160" spans="1:25" x14ac:dyDescent="0.25">
      <c r="A160" s="4" t="s">
        <v>428</v>
      </c>
      <c r="B160" s="5" t="s">
        <v>429</v>
      </c>
      <c r="C160" s="4" t="s">
        <v>98</v>
      </c>
      <c r="D160" s="4" t="s">
        <v>56</v>
      </c>
      <c r="E160" s="4">
        <v>2025</v>
      </c>
      <c r="F160" s="4" t="s">
        <v>31</v>
      </c>
      <c r="G160" s="4" t="s">
        <v>61</v>
      </c>
      <c r="H160" s="4" t="s">
        <v>175</v>
      </c>
      <c r="I160" s="4" t="s">
        <v>48</v>
      </c>
      <c r="J160" s="4" t="s">
        <v>63</v>
      </c>
      <c r="K160" s="4" t="s">
        <v>50</v>
      </c>
      <c r="L160" s="4" t="s">
        <v>51</v>
      </c>
      <c r="M160" s="4" t="s">
        <v>52</v>
      </c>
      <c r="N160" s="4" t="s">
        <v>145</v>
      </c>
      <c r="O160" s="4">
        <v>1</v>
      </c>
      <c r="P160" s="6">
        <v>27545</v>
      </c>
      <c r="Q160" s="7">
        <v>0.03</v>
      </c>
      <c r="R160" s="6">
        <v>26718.65</v>
      </c>
      <c r="S160" s="6">
        <v>21909.29</v>
      </c>
      <c r="T160" s="6">
        <v>4809.3599999999997</v>
      </c>
      <c r="U160" s="8">
        <v>0.18</v>
      </c>
      <c r="V160" s="4" t="s">
        <v>78</v>
      </c>
      <c r="W160" s="4" t="s">
        <v>55</v>
      </c>
      <c r="X160" s="4">
        <v>1</v>
      </c>
      <c r="Y160" s="4" t="s">
        <v>123</v>
      </c>
    </row>
    <row r="161" spans="1:25" x14ac:dyDescent="0.25">
      <c r="A161" s="4" t="s">
        <v>430</v>
      </c>
      <c r="B161" s="5" t="s">
        <v>431</v>
      </c>
      <c r="C161" s="4" t="s">
        <v>85</v>
      </c>
      <c r="D161" s="4" t="s">
        <v>30</v>
      </c>
      <c r="E161" s="4">
        <v>2025</v>
      </c>
      <c r="F161" s="4" t="s">
        <v>31</v>
      </c>
      <c r="G161" s="4" t="s">
        <v>188</v>
      </c>
      <c r="H161" s="4" t="s">
        <v>189</v>
      </c>
      <c r="I161" s="4" t="s">
        <v>34</v>
      </c>
      <c r="J161" s="4" t="s">
        <v>63</v>
      </c>
      <c r="K161" s="4" t="s">
        <v>120</v>
      </c>
      <c r="L161" s="4" t="s">
        <v>51</v>
      </c>
      <c r="M161" s="4" t="s">
        <v>128</v>
      </c>
      <c r="N161" s="4" t="s">
        <v>129</v>
      </c>
      <c r="O161" s="4">
        <v>5</v>
      </c>
      <c r="P161" s="6">
        <v>4179</v>
      </c>
      <c r="Q161" s="7">
        <v>0.1</v>
      </c>
      <c r="R161" s="6">
        <v>18805.5</v>
      </c>
      <c r="S161" s="6">
        <v>13163.85</v>
      </c>
      <c r="T161" s="6">
        <v>5641.65</v>
      </c>
      <c r="U161" s="8">
        <v>0.3</v>
      </c>
      <c r="V161" s="4" t="s">
        <v>105</v>
      </c>
      <c r="W161" s="4" t="s">
        <v>41</v>
      </c>
      <c r="X161" s="4">
        <v>5</v>
      </c>
      <c r="Y161" s="4" t="s">
        <v>106</v>
      </c>
    </row>
    <row r="162" spans="1:25" x14ac:dyDescent="0.25">
      <c r="A162" s="4" t="s">
        <v>432</v>
      </c>
      <c r="B162" s="5" t="s">
        <v>433</v>
      </c>
      <c r="C162" s="4" t="s">
        <v>136</v>
      </c>
      <c r="D162" s="4" t="s">
        <v>60</v>
      </c>
      <c r="E162" s="4">
        <v>2025</v>
      </c>
      <c r="F162" s="4" t="s">
        <v>45</v>
      </c>
      <c r="G162" s="4" t="s">
        <v>110</v>
      </c>
      <c r="H162" s="4" t="s">
        <v>160</v>
      </c>
      <c r="I162" s="4" t="s">
        <v>94</v>
      </c>
      <c r="J162" s="4" t="s">
        <v>49</v>
      </c>
      <c r="K162" s="4" t="s">
        <v>64</v>
      </c>
      <c r="L162" s="4" t="s">
        <v>75</v>
      </c>
      <c r="M162" s="4" t="s">
        <v>76</v>
      </c>
      <c r="N162" s="4" t="s">
        <v>77</v>
      </c>
      <c r="O162" s="4">
        <v>3</v>
      </c>
      <c r="P162" s="6">
        <v>6366</v>
      </c>
      <c r="Q162" s="7">
        <v>0.15</v>
      </c>
      <c r="R162" s="6">
        <v>16233.3</v>
      </c>
      <c r="S162" s="6">
        <v>11525.64</v>
      </c>
      <c r="T162" s="6">
        <v>4707.66</v>
      </c>
      <c r="U162" s="8">
        <v>0.28999999999999998</v>
      </c>
      <c r="V162" s="4" t="s">
        <v>54</v>
      </c>
      <c r="W162" s="4" t="s">
        <v>87</v>
      </c>
      <c r="X162" s="4">
        <v>0</v>
      </c>
      <c r="Y162" s="4" t="s">
        <v>88</v>
      </c>
    </row>
    <row r="163" spans="1:25" x14ac:dyDescent="0.25">
      <c r="A163" s="4" t="s">
        <v>434</v>
      </c>
      <c r="B163" s="5" t="s">
        <v>435</v>
      </c>
      <c r="C163" s="4" t="s">
        <v>159</v>
      </c>
      <c r="D163" s="4" t="s">
        <v>56</v>
      </c>
      <c r="E163" s="4">
        <v>2025</v>
      </c>
      <c r="F163" s="4" t="s">
        <v>99</v>
      </c>
      <c r="G163" s="4" t="s">
        <v>252</v>
      </c>
      <c r="H163" s="4" t="s">
        <v>253</v>
      </c>
      <c r="I163" s="4" t="s">
        <v>94</v>
      </c>
      <c r="J163" s="4" t="s">
        <v>63</v>
      </c>
      <c r="K163" s="4" t="s">
        <v>64</v>
      </c>
      <c r="L163" s="4" t="s">
        <v>51</v>
      </c>
      <c r="M163" s="4" t="s">
        <v>52</v>
      </c>
      <c r="N163" s="4" t="s">
        <v>145</v>
      </c>
      <c r="O163" s="4">
        <v>2</v>
      </c>
      <c r="P163" s="6">
        <v>23245</v>
      </c>
      <c r="Q163" s="7">
        <v>0.11</v>
      </c>
      <c r="R163" s="6">
        <v>41376.1</v>
      </c>
      <c r="S163" s="6">
        <v>33928.400000000001</v>
      </c>
      <c r="T163" s="6">
        <v>7447.7</v>
      </c>
      <c r="U163" s="8">
        <v>0.18</v>
      </c>
      <c r="V163" s="4" t="s">
        <v>54</v>
      </c>
      <c r="W163" s="4" t="s">
        <v>55</v>
      </c>
      <c r="X163" s="4">
        <v>3</v>
      </c>
      <c r="Y163" s="4" t="s">
        <v>42</v>
      </c>
    </row>
    <row r="164" spans="1:25" x14ac:dyDescent="0.25">
      <c r="A164" s="4" t="s">
        <v>436</v>
      </c>
      <c r="B164" s="5" t="s">
        <v>437</v>
      </c>
      <c r="C164" s="4" t="s">
        <v>209</v>
      </c>
      <c r="D164" s="4" t="s">
        <v>68</v>
      </c>
      <c r="E164" s="4">
        <v>2025</v>
      </c>
      <c r="F164" s="4" t="s">
        <v>31</v>
      </c>
      <c r="G164" s="4" t="s">
        <v>188</v>
      </c>
      <c r="H164" s="4" t="s">
        <v>189</v>
      </c>
      <c r="I164" s="4" t="s">
        <v>34</v>
      </c>
      <c r="J164" s="4" t="s">
        <v>35</v>
      </c>
      <c r="K164" s="4" t="s">
        <v>132</v>
      </c>
      <c r="L164" s="4" t="s">
        <v>102</v>
      </c>
      <c r="M164" s="4" t="s">
        <v>113</v>
      </c>
      <c r="N164" s="4" t="s">
        <v>133</v>
      </c>
      <c r="O164" s="4">
        <v>6</v>
      </c>
      <c r="P164" s="6">
        <v>277</v>
      </c>
      <c r="Q164" s="7">
        <v>0.18</v>
      </c>
      <c r="R164" s="6">
        <v>1362.84</v>
      </c>
      <c r="S164" s="6">
        <v>913.1</v>
      </c>
      <c r="T164" s="6">
        <v>449.74</v>
      </c>
      <c r="U164" s="8">
        <v>0.33</v>
      </c>
      <c r="V164" s="4" t="s">
        <v>105</v>
      </c>
      <c r="W164" s="4" t="s">
        <v>55</v>
      </c>
      <c r="X164" s="4">
        <v>3</v>
      </c>
      <c r="Y164" s="4" t="s">
        <v>42</v>
      </c>
    </row>
    <row r="165" spans="1:25" x14ac:dyDescent="0.25">
      <c r="A165" s="4" t="s">
        <v>438</v>
      </c>
      <c r="B165" s="5" t="s">
        <v>371</v>
      </c>
      <c r="C165" s="4" t="s">
        <v>29</v>
      </c>
      <c r="D165" s="4" t="s">
        <v>30</v>
      </c>
      <c r="E165" s="4">
        <v>2025</v>
      </c>
      <c r="F165" s="4" t="s">
        <v>45</v>
      </c>
      <c r="G165" s="4" t="s">
        <v>46</v>
      </c>
      <c r="H165" s="4" t="s">
        <v>47</v>
      </c>
      <c r="I165" s="4" t="s">
        <v>34</v>
      </c>
      <c r="J165" s="4" t="s">
        <v>63</v>
      </c>
      <c r="K165" s="4" t="s">
        <v>64</v>
      </c>
      <c r="L165" s="4" t="s">
        <v>75</v>
      </c>
      <c r="M165" s="4" t="s">
        <v>121</v>
      </c>
      <c r="N165" s="4" t="s">
        <v>137</v>
      </c>
      <c r="O165" s="4">
        <v>3</v>
      </c>
      <c r="P165" s="6">
        <v>10436</v>
      </c>
      <c r="Q165" s="7">
        <v>0.16</v>
      </c>
      <c r="R165" s="6">
        <v>26298.720000000001</v>
      </c>
      <c r="S165" s="6">
        <v>19461.05</v>
      </c>
      <c r="T165" s="6">
        <v>6837.67</v>
      </c>
      <c r="U165" s="8">
        <v>0.26</v>
      </c>
      <c r="V165" s="4" t="s">
        <v>40</v>
      </c>
      <c r="W165" s="4" t="s">
        <v>41</v>
      </c>
      <c r="X165" s="4">
        <v>7</v>
      </c>
      <c r="Y165" s="4" t="s">
        <v>106</v>
      </c>
    </row>
    <row r="166" spans="1:25" x14ac:dyDescent="0.25">
      <c r="A166" s="4" t="s">
        <v>439</v>
      </c>
      <c r="B166" s="5" t="s">
        <v>440</v>
      </c>
      <c r="C166" s="4" t="s">
        <v>117</v>
      </c>
      <c r="D166" s="4" t="s">
        <v>56</v>
      </c>
      <c r="E166" s="4">
        <v>2025</v>
      </c>
      <c r="F166" s="4" t="s">
        <v>31</v>
      </c>
      <c r="G166" s="4" t="s">
        <v>188</v>
      </c>
      <c r="H166" s="4" t="s">
        <v>189</v>
      </c>
      <c r="I166" s="4" t="s">
        <v>48</v>
      </c>
      <c r="J166" s="4" t="s">
        <v>49</v>
      </c>
      <c r="K166" s="4" t="s">
        <v>64</v>
      </c>
      <c r="L166" s="4" t="s">
        <v>37</v>
      </c>
      <c r="M166" s="4" t="s">
        <v>80</v>
      </c>
      <c r="N166" s="4" t="s">
        <v>150</v>
      </c>
      <c r="O166" s="4">
        <v>11</v>
      </c>
      <c r="P166" s="6">
        <v>1661</v>
      </c>
      <c r="Q166" s="7">
        <v>0.02</v>
      </c>
      <c r="R166" s="6">
        <v>17905.580000000002</v>
      </c>
      <c r="S166" s="6">
        <v>10743.35</v>
      </c>
      <c r="T166" s="6">
        <v>7162.23</v>
      </c>
      <c r="U166" s="8">
        <v>0.4</v>
      </c>
      <c r="V166" s="4" t="s">
        <v>105</v>
      </c>
      <c r="W166" s="4" t="s">
        <v>41</v>
      </c>
      <c r="X166" s="4">
        <v>4</v>
      </c>
      <c r="Y166" s="4" t="s">
        <v>123</v>
      </c>
    </row>
    <row r="167" spans="1:25" x14ac:dyDescent="0.25">
      <c r="A167" s="4" t="s">
        <v>441</v>
      </c>
      <c r="B167" s="5" t="s">
        <v>442</v>
      </c>
      <c r="C167" s="4" t="s">
        <v>71</v>
      </c>
      <c r="D167" s="4" t="s">
        <v>68</v>
      </c>
      <c r="E167" s="4">
        <v>2025</v>
      </c>
      <c r="F167" s="4" t="s">
        <v>31</v>
      </c>
      <c r="G167" s="4" t="s">
        <v>188</v>
      </c>
      <c r="H167" s="4" t="s">
        <v>189</v>
      </c>
      <c r="I167" s="4" t="s">
        <v>34</v>
      </c>
      <c r="J167" s="4" t="s">
        <v>35</v>
      </c>
      <c r="K167" s="4" t="s">
        <v>36</v>
      </c>
      <c r="L167" s="4" t="s">
        <v>75</v>
      </c>
      <c r="M167" s="4" t="s">
        <v>121</v>
      </c>
      <c r="N167" s="4" t="s">
        <v>122</v>
      </c>
      <c r="O167" s="4">
        <v>2</v>
      </c>
      <c r="P167" s="6">
        <v>5469</v>
      </c>
      <c r="Q167" s="7">
        <v>0.14000000000000001</v>
      </c>
      <c r="R167" s="6">
        <v>9406.68</v>
      </c>
      <c r="S167" s="6">
        <v>6772.81</v>
      </c>
      <c r="T167" s="6">
        <v>2633.87</v>
      </c>
      <c r="U167" s="8">
        <v>0.28000000000000003</v>
      </c>
      <c r="V167" s="4" t="s">
        <v>105</v>
      </c>
      <c r="W167" s="4" t="s">
        <v>55</v>
      </c>
      <c r="X167" s="4">
        <v>1</v>
      </c>
      <c r="Y167" s="4" t="s">
        <v>106</v>
      </c>
    </row>
    <row r="168" spans="1:25" x14ac:dyDescent="0.25">
      <c r="A168" s="4" t="s">
        <v>443</v>
      </c>
      <c r="B168" s="5" t="s">
        <v>327</v>
      </c>
      <c r="C168" s="4" t="s">
        <v>29</v>
      </c>
      <c r="D168" s="4" t="s">
        <v>30</v>
      </c>
      <c r="E168" s="4">
        <v>2025</v>
      </c>
      <c r="F168" s="4" t="s">
        <v>45</v>
      </c>
      <c r="G168" s="4" t="s">
        <v>46</v>
      </c>
      <c r="H168" s="4" t="s">
        <v>47</v>
      </c>
      <c r="I168" s="4" t="s">
        <v>94</v>
      </c>
      <c r="J168" s="4" t="s">
        <v>63</v>
      </c>
      <c r="K168" s="4" t="s">
        <v>86</v>
      </c>
      <c r="L168" s="4" t="s">
        <v>75</v>
      </c>
      <c r="M168" s="4" t="s">
        <v>121</v>
      </c>
      <c r="N168" s="4" t="s">
        <v>122</v>
      </c>
      <c r="O168" s="4">
        <v>1</v>
      </c>
      <c r="P168" s="6">
        <v>5034</v>
      </c>
      <c r="Q168" s="7">
        <v>0.08</v>
      </c>
      <c r="R168" s="6">
        <v>4631.28</v>
      </c>
      <c r="S168" s="6">
        <v>3334.52</v>
      </c>
      <c r="T168" s="6">
        <v>1296.76</v>
      </c>
      <c r="U168" s="8">
        <v>0.28000000000000003</v>
      </c>
      <c r="V168" s="4" t="s">
        <v>78</v>
      </c>
      <c r="W168" s="4" t="s">
        <v>55</v>
      </c>
      <c r="X168" s="4">
        <v>2</v>
      </c>
      <c r="Y168" s="4" t="s">
        <v>88</v>
      </c>
    </row>
    <row r="169" spans="1:25" x14ac:dyDescent="0.25">
      <c r="A169" s="4" t="s">
        <v>444</v>
      </c>
      <c r="B169" s="5" t="s">
        <v>445</v>
      </c>
      <c r="C169" s="4" t="s">
        <v>159</v>
      </c>
      <c r="D169" s="4" t="s">
        <v>56</v>
      </c>
      <c r="E169" s="4">
        <v>2025</v>
      </c>
      <c r="F169" s="4" t="s">
        <v>31</v>
      </c>
      <c r="G169" s="4" t="s">
        <v>61</v>
      </c>
      <c r="H169" s="4" t="s">
        <v>62</v>
      </c>
      <c r="I169" s="4" t="s">
        <v>48</v>
      </c>
      <c r="J169" s="4" t="s">
        <v>35</v>
      </c>
      <c r="K169" s="4" t="s">
        <v>156</v>
      </c>
      <c r="L169" s="4" t="s">
        <v>102</v>
      </c>
      <c r="M169" s="4" t="s">
        <v>103</v>
      </c>
      <c r="N169" s="4" t="s">
        <v>104</v>
      </c>
      <c r="O169" s="4">
        <v>25</v>
      </c>
      <c r="P169" s="6">
        <v>161</v>
      </c>
      <c r="Q169" s="7">
        <v>0.01</v>
      </c>
      <c r="R169" s="6">
        <v>3984.75</v>
      </c>
      <c r="S169" s="6">
        <v>2550.2399999999998</v>
      </c>
      <c r="T169" s="6">
        <v>1434.51</v>
      </c>
      <c r="U169" s="8">
        <v>0.36</v>
      </c>
      <c r="V169" s="4" t="s">
        <v>54</v>
      </c>
      <c r="W169" s="4" t="s">
        <v>41</v>
      </c>
      <c r="X169" s="4">
        <v>7</v>
      </c>
      <c r="Y169" s="4" t="s">
        <v>42</v>
      </c>
    </row>
    <row r="170" spans="1:25" x14ac:dyDescent="0.25">
      <c r="A170" s="4" t="s">
        <v>446</v>
      </c>
      <c r="B170" s="5" t="s">
        <v>447</v>
      </c>
      <c r="C170" s="4" t="s">
        <v>192</v>
      </c>
      <c r="D170" s="4" t="s">
        <v>30</v>
      </c>
      <c r="E170" s="4">
        <v>2025</v>
      </c>
      <c r="F170" s="4" t="s">
        <v>31</v>
      </c>
      <c r="G170" s="4" t="s">
        <v>61</v>
      </c>
      <c r="H170" s="4" t="s">
        <v>175</v>
      </c>
      <c r="I170" s="4" t="s">
        <v>34</v>
      </c>
      <c r="J170" s="4" t="s">
        <v>35</v>
      </c>
      <c r="K170" s="4" t="s">
        <v>95</v>
      </c>
      <c r="L170" s="4" t="s">
        <v>75</v>
      </c>
      <c r="M170" s="4" t="s">
        <v>121</v>
      </c>
      <c r="N170" s="4" t="s">
        <v>137</v>
      </c>
      <c r="O170" s="4">
        <v>2</v>
      </c>
      <c r="P170" s="6">
        <v>14061</v>
      </c>
      <c r="Q170" s="7">
        <v>0.11</v>
      </c>
      <c r="R170" s="6">
        <v>25028.58</v>
      </c>
      <c r="S170" s="6">
        <v>18521.150000000001</v>
      </c>
      <c r="T170" s="6">
        <v>6507.43</v>
      </c>
      <c r="U170" s="8">
        <v>0.26</v>
      </c>
      <c r="V170" s="4" t="s">
        <v>54</v>
      </c>
      <c r="W170" s="4" t="s">
        <v>87</v>
      </c>
      <c r="X170" s="4">
        <v>0</v>
      </c>
      <c r="Y170" s="4" t="s">
        <v>42</v>
      </c>
    </row>
    <row r="171" spans="1:25" x14ac:dyDescent="0.25">
      <c r="A171" s="4" t="s">
        <v>448</v>
      </c>
      <c r="B171" s="5" t="s">
        <v>177</v>
      </c>
      <c r="C171" s="4" t="s">
        <v>136</v>
      </c>
      <c r="D171" s="4" t="s">
        <v>60</v>
      </c>
      <c r="E171" s="4">
        <v>2025</v>
      </c>
      <c r="F171" s="4" t="s">
        <v>31</v>
      </c>
      <c r="G171" s="4" t="s">
        <v>32</v>
      </c>
      <c r="H171" s="4" t="s">
        <v>33</v>
      </c>
      <c r="I171" s="4" t="s">
        <v>34</v>
      </c>
      <c r="J171" s="4" t="s">
        <v>49</v>
      </c>
      <c r="K171" s="4" t="s">
        <v>64</v>
      </c>
      <c r="L171" s="4" t="s">
        <v>75</v>
      </c>
      <c r="M171" s="4" t="s">
        <v>121</v>
      </c>
      <c r="N171" s="4" t="s">
        <v>137</v>
      </c>
      <c r="O171" s="4">
        <v>3</v>
      </c>
      <c r="P171" s="6">
        <v>15707</v>
      </c>
      <c r="Q171" s="7">
        <v>0.12</v>
      </c>
      <c r="R171" s="6">
        <v>41466.480000000003</v>
      </c>
      <c r="S171" s="6">
        <v>30685.200000000001</v>
      </c>
      <c r="T171" s="6">
        <v>10781.28</v>
      </c>
      <c r="U171" s="8">
        <v>0.26</v>
      </c>
      <c r="V171" s="4" t="s">
        <v>40</v>
      </c>
      <c r="W171" s="4" t="s">
        <v>87</v>
      </c>
      <c r="X171" s="4">
        <v>0</v>
      </c>
      <c r="Y171" s="4" t="s">
        <v>42</v>
      </c>
    </row>
    <row r="172" spans="1:25" x14ac:dyDescent="0.25">
      <c r="A172" s="4" t="s">
        <v>449</v>
      </c>
      <c r="B172" s="5" t="s">
        <v>450</v>
      </c>
      <c r="C172" s="4" t="s">
        <v>117</v>
      </c>
      <c r="D172" s="4" t="s">
        <v>56</v>
      </c>
      <c r="E172" s="4">
        <v>2025</v>
      </c>
      <c r="F172" s="4" t="s">
        <v>91</v>
      </c>
      <c r="G172" s="4" t="s">
        <v>183</v>
      </c>
      <c r="H172" s="4" t="s">
        <v>184</v>
      </c>
      <c r="I172" s="4" t="s">
        <v>34</v>
      </c>
      <c r="J172" s="4" t="s">
        <v>35</v>
      </c>
      <c r="K172" s="4" t="s">
        <v>36</v>
      </c>
      <c r="L172" s="4" t="s">
        <v>102</v>
      </c>
      <c r="M172" s="4" t="s">
        <v>103</v>
      </c>
      <c r="N172" s="4" t="s">
        <v>238</v>
      </c>
      <c r="O172" s="4">
        <v>8</v>
      </c>
      <c r="P172" s="6">
        <v>64</v>
      </c>
      <c r="Q172" s="7">
        <v>0.18</v>
      </c>
      <c r="R172" s="6">
        <v>419.84</v>
      </c>
      <c r="S172" s="6">
        <v>260.3</v>
      </c>
      <c r="T172" s="6">
        <v>159.54</v>
      </c>
      <c r="U172" s="8">
        <v>0.38</v>
      </c>
      <c r="V172" s="4" t="s">
        <v>54</v>
      </c>
      <c r="W172" s="4" t="s">
        <v>87</v>
      </c>
      <c r="X172" s="4">
        <v>0</v>
      </c>
      <c r="Y172" s="4" t="s">
        <v>123</v>
      </c>
    </row>
    <row r="173" spans="1:25" x14ac:dyDescent="0.25">
      <c r="A173" s="4" t="s">
        <v>451</v>
      </c>
      <c r="B173" s="5" t="s">
        <v>452</v>
      </c>
      <c r="C173" s="4" t="s">
        <v>29</v>
      </c>
      <c r="D173" s="4" t="s">
        <v>30</v>
      </c>
      <c r="E173" s="4">
        <v>2025</v>
      </c>
      <c r="F173" s="4" t="s">
        <v>91</v>
      </c>
      <c r="G173" s="4" t="s">
        <v>148</v>
      </c>
      <c r="H173" s="4" t="s">
        <v>149</v>
      </c>
      <c r="I173" s="4" t="s">
        <v>34</v>
      </c>
      <c r="J173" s="4" t="s">
        <v>63</v>
      </c>
      <c r="K173" s="4" t="s">
        <v>95</v>
      </c>
      <c r="L173" s="4" t="s">
        <v>102</v>
      </c>
      <c r="M173" s="4" t="s">
        <v>113</v>
      </c>
      <c r="N173" s="4" t="s">
        <v>114</v>
      </c>
      <c r="O173" s="4">
        <v>9</v>
      </c>
      <c r="P173" s="6">
        <v>327</v>
      </c>
      <c r="Q173" s="7">
        <v>0.13</v>
      </c>
      <c r="R173" s="6">
        <v>2560.41</v>
      </c>
      <c r="S173" s="6">
        <v>1689.87</v>
      </c>
      <c r="T173" s="6">
        <v>870.54</v>
      </c>
      <c r="U173" s="8">
        <v>0.34</v>
      </c>
      <c r="V173" s="4" t="s">
        <v>78</v>
      </c>
      <c r="W173" s="4" t="s">
        <v>55</v>
      </c>
      <c r="X173" s="4">
        <v>1</v>
      </c>
      <c r="Y173" s="4" t="s">
        <v>88</v>
      </c>
    </row>
    <row r="174" spans="1:25" x14ac:dyDescent="0.25">
      <c r="A174" s="4" t="s">
        <v>453</v>
      </c>
      <c r="B174" s="5" t="s">
        <v>454</v>
      </c>
      <c r="C174" s="4" t="s">
        <v>59</v>
      </c>
      <c r="D174" s="4" t="s">
        <v>60</v>
      </c>
      <c r="E174" s="4">
        <v>2025</v>
      </c>
      <c r="F174" s="4" t="s">
        <v>99</v>
      </c>
      <c r="G174" s="4" t="s">
        <v>118</v>
      </c>
      <c r="H174" s="4" t="s">
        <v>119</v>
      </c>
      <c r="I174" s="4" t="s">
        <v>34</v>
      </c>
      <c r="J174" s="4" t="s">
        <v>35</v>
      </c>
      <c r="K174" s="4" t="s">
        <v>132</v>
      </c>
      <c r="L174" s="4" t="s">
        <v>51</v>
      </c>
      <c r="M174" s="4" t="s">
        <v>128</v>
      </c>
      <c r="N174" s="4" t="s">
        <v>129</v>
      </c>
      <c r="O174" s="4">
        <v>4</v>
      </c>
      <c r="P174" s="6">
        <v>1932</v>
      </c>
      <c r="Q174" s="7">
        <v>0.09</v>
      </c>
      <c r="R174" s="6">
        <v>7032.48</v>
      </c>
      <c r="S174" s="6">
        <v>4922.74</v>
      </c>
      <c r="T174" s="6">
        <v>2109.7399999999998</v>
      </c>
      <c r="U174" s="8">
        <v>0.3</v>
      </c>
      <c r="V174" s="4" t="s">
        <v>54</v>
      </c>
      <c r="W174" s="4" t="s">
        <v>41</v>
      </c>
      <c r="X174" s="4">
        <v>7</v>
      </c>
      <c r="Y174" s="4" t="s">
        <v>42</v>
      </c>
    </row>
    <row r="175" spans="1:25" x14ac:dyDescent="0.25">
      <c r="A175" s="4" t="s">
        <v>455</v>
      </c>
      <c r="B175" s="5" t="s">
        <v>84</v>
      </c>
      <c r="C175" s="4" t="s">
        <v>85</v>
      </c>
      <c r="D175" s="4" t="s">
        <v>30</v>
      </c>
      <c r="E175" s="4">
        <v>2025</v>
      </c>
      <c r="F175" s="4" t="s">
        <v>45</v>
      </c>
      <c r="G175" s="4" t="s">
        <v>46</v>
      </c>
      <c r="H175" s="4" t="s">
        <v>47</v>
      </c>
      <c r="I175" s="4" t="s">
        <v>94</v>
      </c>
      <c r="J175" s="4" t="s">
        <v>63</v>
      </c>
      <c r="K175" s="4" t="s">
        <v>86</v>
      </c>
      <c r="L175" s="4" t="s">
        <v>51</v>
      </c>
      <c r="M175" s="4" t="s">
        <v>128</v>
      </c>
      <c r="N175" s="4" t="s">
        <v>228</v>
      </c>
      <c r="O175" s="4">
        <v>6</v>
      </c>
      <c r="P175" s="6">
        <v>1492</v>
      </c>
      <c r="Q175" s="7">
        <v>0.11</v>
      </c>
      <c r="R175" s="6">
        <v>7967.28</v>
      </c>
      <c r="S175" s="6">
        <v>5417.75</v>
      </c>
      <c r="T175" s="6">
        <v>2549.5300000000002</v>
      </c>
      <c r="U175" s="8">
        <v>0.32</v>
      </c>
      <c r="V175" s="4" t="s">
        <v>78</v>
      </c>
      <c r="W175" s="4" t="s">
        <v>55</v>
      </c>
      <c r="X175" s="4">
        <v>1</v>
      </c>
      <c r="Y175" s="4" t="s">
        <v>42</v>
      </c>
    </row>
    <row r="176" spans="1:25" x14ac:dyDescent="0.25">
      <c r="A176" s="4" t="s">
        <v>456</v>
      </c>
      <c r="B176" s="5" t="s">
        <v>256</v>
      </c>
      <c r="C176" s="4" t="s">
        <v>209</v>
      </c>
      <c r="D176" s="4" t="s">
        <v>68</v>
      </c>
      <c r="E176" s="4">
        <v>2025</v>
      </c>
      <c r="F176" s="4" t="s">
        <v>91</v>
      </c>
      <c r="G176" s="4" t="s">
        <v>183</v>
      </c>
      <c r="H176" s="4" t="s">
        <v>184</v>
      </c>
      <c r="I176" s="4" t="s">
        <v>34</v>
      </c>
      <c r="J176" s="4" t="s">
        <v>63</v>
      </c>
      <c r="K176" s="4" t="s">
        <v>144</v>
      </c>
      <c r="L176" s="4" t="s">
        <v>37</v>
      </c>
      <c r="M176" s="4" t="s">
        <v>80</v>
      </c>
      <c r="N176" s="4" t="s">
        <v>81</v>
      </c>
      <c r="O176" s="4">
        <v>10</v>
      </c>
      <c r="P176" s="6">
        <v>1560</v>
      </c>
      <c r="Q176" s="7">
        <v>0.08</v>
      </c>
      <c r="R176" s="6">
        <v>14352</v>
      </c>
      <c r="S176" s="6">
        <v>8324.16</v>
      </c>
      <c r="T176" s="6">
        <v>6027.84</v>
      </c>
      <c r="U176" s="8">
        <v>0.42</v>
      </c>
      <c r="V176" s="4" t="s">
        <v>78</v>
      </c>
      <c r="W176" s="4" t="s">
        <v>41</v>
      </c>
      <c r="X176" s="4">
        <v>7</v>
      </c>
      <c r="Y176" s="4" t="s">
        <v>42</v>
      </c>
    </row>
    <row r="177" spans="1:25" x14ac:dyDescent="0.25">
      <c r="A177" s="4" t="s">
        <v>457</v>
      </c>
      <c r="B177" s="5" t="s">
        <v>458</v>
      </c>
      <c r="C177" s="4" t="s">
        <v>71</v>
      </c>
      <c r="D177" s="4" t="s">
        <v>68</v>
      </c>
      <c r="E177" s="4">
        <v>2025</v>
      </c>
      <c r="F177" s="4" t="s">
        <v>45</v>
      </c>
      <c r="G177" s="4" t="s">
        <v>46</v>
      </c>
      <c r="H177" s="4" t="s">
        <v>244</v>
      </c>
      <c r="I177" s="4" t="s">
        <v>94</v>
      </c>
      <c r="J177" s="4" t="s">
        <v>63</v>
      </c>
      <c r="K177" s="4" t="s">
        <v>64</v>
      </c>
      <c r="L177" s="4" t="s">
        <v>51</v>
      </c>
      <c r="M177" s="4" t="s">
        <v>65</v>
      </c>
      <c r="N177" s="4" t="s">
        <v>247</v>
      </c>
      <c r="O177" s="4">
        <v>3</v>
      </c>
      <c r="P177" s="6">
        <v>53423</v>
      </c>
      <c r="Q177" s="7">
        <v>0.15</v>
      </c>
      <c r="R177" s="6">
        <v>136228.65</v>
      </c>
      <c r="S177" s="6">
        <v>114432.07</v>
      </c>
      <c r="T177" s="6">
        <v>21796.58</v>
      </c>
      <c r="U177" s="8">
        <v>0.16</v>
      </c>
      <c r="V177" s="4" t="s">
        <v>67</v>
      </c>
      <c r="W177" s="4" t="s">
        <v>41</v>
      </c>
      <c r="X177" s="4">
        <v>7</v>
      </c>
      <c r="Y177" s="4" t="s">
        <v>106</v>
      </c>
    </row>
    <row r="178" spans="1:25" x14ac:dyDescent="0.25">
      <c r="A178" s="4" t="s">
        <v>459</v>
      </c>
      <c r="B178" s="5" t="s">
        <v>44</v>
      </c>
      <c r="C178" s="4" t="s">
        <v>29</v>
      </c>
      <c r="D178" s="4" t="s">
        <v>30</v>
      </c>
      <c r="E178" s="4">
        <v>2025</v>
      </c>
      <c r="F178" s="4" t="s">
        <v>45</v>
      </c>
      <c r="G178" s="4" t="s">
        <v>72</v>
      </c>
      <c r="H178" s="4" t="s">
        <v>73</v>
      </c>
      <c r="I178" s="4" t="s">
        <v>48</v>
      </c>
      <c r="J178" s="4" t="s">
        <v>63</v>
      </c>
      <c r="K178" s="4" t="s">
        <v>36</v>
      </c>
      <c r="L178" s="4" t="s">
        <v>37</v>
      </c>
      <c r="M178" s="4" t="s">
        <v>80</v>
      </c>
      <c r="N178" s="4" t="s">
        <v>150</v>
      </c>
      <c r="O178" s="4">
        <v>7</v>
      </c>
      <c r="P178" s="6">
        <v>2290</v>
      </c>
      <c r="Q178" s="7">
        <v>0.04</v>
      </c>
      <c r="R178" s="6">
        <v>15388.8</v>
      </c>
      <c r="S178" s="6">
        <v>9233.2800000000007</v>
      </c>
      <c r="T178" s="6">
        <v>6155.52</v>
      </c>
      <c r="U178" s="8">
        <v>0.4</v>
      </c>
      <c r="V178" s="4" t="s">
        <v>67</v>
      </c>
      <c r="W178" s="4" t="s">
        <v>55</v>
      </c>
      <c r="X178" s="4">
        <v>3</v>
      </c>
      <c r="Y178" s="4" t="s">
        <v>42</v>
      </c>
    </row>
    <row r="179" spans="1:25" x14ac:dyDescent="0.25">
      <c r="A179" s="4" t="s">
        <v>460</v>
      </c>
      <c r="B179" s="5" t="s">
        <v>461</v>
      </c>
      <c r="C179" s="4" t="s">
        <v>85</v>
      </c>
      <c r="D179" s="4" t="s">
        <v>30</v>
      </c>
      <c r="E179" s="4">
        <v>2025</v>
      </c>
      <c r="F179" s="4" t="s">
        <v>99</v>
      </c>
      <c r="G179" s="4" t="s">
        <v>252</v>
      </c>
      <c r="H179" s="4" t="s">
        <v>277</v>
      </c>
      <c r="I179" s="4" t="s">
        <v>48</v>
      </c>
      <c r="J179" s="4" t="s">
        <v>35</v>
      </c>
      <c r="K179" s="4" t="s">
        <v>144</v>
      </c>
      <c r="L179" s="4" t="s">
        <v>75</v>
      </c>
      <c r="M179" s="4" t="s">
        <v>76</v>
      </c>
      <c r="N179" s="4" t="s">
        <v>140</v>
      </c>
      <c r="O179" s="4">
        <v>2</v>
      </c>
      <c r="P179" s="6">
        <v>27337</v>
      </c>
      <c r="Q179" s="7">
        <v>0.03</v>
      </c>
      <c r="R179" s="6">
        <v>53033.78</v>
      </c>
      <c r="S179" s="6">
        <v>40305.67</v>
      </c>
      <c r="T179" s="6">
        <v>12728.11</v>
      </c>
      <c r="U179" s="8">
        <v>0.24</v>
      </c>
      <c r="V179" s="4" t="s">
        <v>54</v>
      </c>
      <c r="W179" s="4" t="s">
        <v>41</v>
      </c>
      <c r="X179" s="4">
        <v>5</v>
      </c>
      <c r="Y179" s="4" t="s">
        <v>106</v>
      </c>
    </row>
    <row r="180" spans="1:25" x14ac:dyDescent="0.25">
      <c r="A180" s="4" t="s">
        <v>462</v>
      </c>
      <c r="B180" s="5" t="s">
        <v>463</v>
      </c>
      <c r="C180" s="4" t="s">
        <v>209</v>
      </c>
      <c r="D180" s="4" t="s">
        <v>68</v>
      </c>
      <c r="E180" s="4">
        <v>2025</v>
      </c>
      <c r="F180" s="4" t="s">
        <v>91</v>
      </c>
      <c r="G180" s="4" t="s">
        <v>148</v>
      </c>
      <c r="H180" s="4" t="s">
        <v>149</v>
      </c>
      <c r="I180" s="4" t="s">
        <v>34</v>
      </c>
      <c r="J180" s="4" t="s">
        <v>35</v>
      </c>
      <c r="K180" s="4" t="s">
        <v>74</v>
      </c>
      <c r="L180" s="4" t="s">
        <v>37</v>
      </c>
      <c r="M180" s="4" t="s">
        <v>38</v>
      </c>
      <c r="N180" s="4" t="s">
        <v>185</v>
      </c>
      <c r="O180" s="4">
        <v>6</v>
      </c>
      <c r="P180" s="6">
        <v>3488</v>
      </c>
      <c r="Q180" s="7">
        <v>0.18</v>
      </c>
      <c r="R180" s="6">
        <v>17160.96</v>
      </c>
      <c r="S180" s="6">
        <v>10811.4</v>
      </c>
      <c r="T180" s="6">
        <v>6349.56</v>
      </c>
      <c r="U180" s="8">
        <v>0.37</v>
      </c>
      <c r="V180" s="4" t="s">
        <v>78</v>
      </c>
      <c r="W180" s="4" t="s">
        <v>41</v>
      </c>
      <c r="X180" s="4">
        <v>5</v>
      </c>
      <c r="Y180" s="4" t="s">
        <v>42</v>
      </c>
    </row>
    <row r="181" spans="1:25" x14ac:dyDescent="0.25">
      <c r="A181" s="4" t="s">
        <v>464</v>
      </c>
      <c r="B181" s="5" t="s">
        <v>458</v>
      </c>
      <c r="C181" s="4" t="s">
        <v>71</v>
      </c>
      <c r="D181" s="4" t="s">
        <v>68</v>
      </c>
      <c r="E181" s="4">
        <v>2025</v>
      </c>
      <c r="F181" s="4" t="s">
        <v>99</v>
      </c>
      <c r="G181" s="4" t="s">
        <v>252</v>
      </c>
      <c r="H181" s="4" t="s">
        <v>277</v>
      </c>
      <c r="I181" s="4" t="s">
        <v>94</v>
      </c>
      <c r="J181" s="4" t="s">
        <v>63</v>
      </c>
      <c r="K181" s="4" t="s">
        <v>144</v>
      </c>
      <c r="L181" s="4" t="s">
        <v>51</v>
      </c>
      <c r="M181" s="4" t="s">
        <v>128</v>
      </c>
      <c r="N181" s="4" t="s">
        <v>228</v>
      </c>
      <c r="O181" s="4">
        <v>4</v>
      </c>
      <c r="P181" s="6">
        <v>1482</v>
      </c>
      <c r="Q181" s="7">
        <v>0.06</v>
      </c>
      <c r="R181" s="6">
        <v>5572.32</v>
      </c>
      <c r="S181" s="6">
        <v>3789.18</v>
      </c>
      <c r="T181" s="6">
        <v>1783.14</v>
      </c>
      <c r="U181" s="8">
        <v>0.32</v>
      </c>
      <c r="V181" s="4" t="s">
        <v>40</v>
      </c>
      <c r="W181" s="4" t="s">
        <v>55</v>
      </c>
      <c r="X181" s="4">
        <v>3</v>
      </c>
      <c r="Y181" s="4" t="s">
        <v>106</v>
      </c>
    </row>
    <row r="182" spans="1:25" x14ac:dyDescent="0.25">
      <c r="A182" s="4" t="s">
        <v>465</v>
      </c>
      <c r="B182" s="5" t="s">
        <v>303</v>
      </c>
      <c r="C182" s="4" t="s">
        <v>71</v>
      </c>
      <c r="D182" s="4" t="s">
        <v>68</v>
      </c>
      <c r="E182" s="4">
        <v>2025</v>
      </c>
      <c r="F182" s="4" t="s">
        <v>45</v>
      </c>
      <c r="G182" s="4" t="s">
        <v>72</v>
      </c>
      <c r="H182" s="4" t="s">
        <v>73</v>
      </c>
      <c r="I182" s="4" t="s">
        <v>94</v>
      </c>
      <c r="J182" s="4" t="s">
        <v>35</v>
      </c>
      <c r="K182" s="4" t="s">
        <v>74</v>
      </c>
      <c r="L182" s="4" t="s">
        <v>37</v>
      </c>
      <c r="M182" s="4" t="s">
        <v>38</v>
      </c>
      <c r="N182" s="4" t="s">
        <v>185</v>
      </c>
      <c r="O182" s="4">
        <v>10</v>
      </c>
      <c r="P182" s="6">
        <v>4689</v>
      </c>
      <c r="Q182" s="7">
        <v>0.14000000000000001</v>
      </c>
      <c r="R182" s="6">
        <v>40325.4</v>
      </c>
      <c r="S182" s="6">
        <v>25405</v>
      </c>
      <c r="T182" s="6">
        <v>14920.4</v>
      </c>
      <c r="U182" s="8">
        <v>0.37</v>
      </c>
      <c r="V182" s="4" t="s">
        <v>40</v>
      </c>
      <c r="W182" s="4" t="s">
        <v>55</v>
      </c>
      <c r="X182" s="4">
        <v>2</v>
      </c>
      <c r="Y182" s="4" t="s">
        <v>42</v>
      </c>
    </row>
    <row r="183" spans="1:25" x14ac:dyDescent="0.25">
      <c r="A183" s="4" t="s">
        <v>466</v>
      </c>
      <c r="B183" s="5" t="s">
        <v>467</v>
      </c>
      <c r="C183" s="4" t="s">
        <v>109</v>
      </c>
      <c r="D183" s="4" t="s">
        <v>60</v>
      </c>
      <c r="E183" s="4">
        <v>2025</v>
      </c>
      <c r="F183" s="4" t="s">
        <v>45</v>
      </c>
      <c r="G183" s="4" t="s">
        <v>72</v>
      </c>
      <c r="H183" s="4" t="s">
        <v>73</v>
      </c>
      <c r="I183" s="4" t="s">
        <v>34</v>
      </c>
      <c r="J183" s="4" t="s">
        <v>49</v>
      </c>
      <c r="K183" s="4" t="s">
        <v>50</v>
      </c>
      <c r="L183" s="4" t="s">
        <v>37</v>
      </c>
      <c r="M183" s="4" t="s">
        <v>80</v>
      </c>
      <c r="N183" s="4" t="s">
        <v>150</v>
      </c>
      <c r="O183" s="4">
        <v>8</v>
      </c>
      <c r="P183" s="6">
        <v>2091</v>
      </c>
      <c r="Q183" s="7">
        <v>0.18</v>
      </c>
      <c r="R183" s="6">
        <v>13716.96</v>
      </c>
      <c r="S183" s="6">
        <v>8230.18</v>
      </c>
      <c r="T183" s="6">
        <v>5486.78</v>
      </c>
      <c r="U183" s="8">
        <v>0.4</v>
      </c>
      <c r="V183" s="4" t="s">
        <v>54</v>
      </c>
      <c r="W183" s="4" t="s">
        <v>55</v>
      </c>
      <c r="X183" s="4">
        <v>1</v>
      </c>
      <c r="Y183" s="4" t="s">
        <v>42</v>
      </c>
    </row>
    <row r="184" spans="1:25" x14ac:dyDescent="0.25">
      <c r="A184" s="4" t="s">
        <v>468</v>
      </c>
      <c r="B184" s="5" t="s">
        <v>469</v>
      </c>
      <c r="C184" s="4" t="s">
        <v>192</v>
      </c>
      <c r="D184" s="4" t="s">
        <v>30</v>
      </c>
      <c r="E184" s="4">
        <v>2025</v>
      </c>
      <c r="F184" s="4" t="s">
        <v>45</v>
      </c>
      <c r="G184" s="4" t="s">
        <v>46</v>
      </c>
      <c r="H184" s="4" t="s">
        <v>47</v>
      </c>
      <c r="I184" s="4" t="s">
        <v>94</v>
      </c>
      <c r="J184" s="4" t="s">
        <v>49</v>
      </c>
      <c r="K184" s="4" t="s">
        <v>86</v>
      </c>
      <c r="L184" s="4" t="s">
        <v>75</v>
      </c>
      <c r="M184" s="4" t="s">
        <v>76</v>
      </c>
      <c r="N184" s="4" t="s">
        <v>77</v>
      </c>
      <c r="O184" s="4">
        <v>2</v>
      </c>
      <c r="P184" s="6">
        <v>10712</v>
      </c>
      <c r="Q184" s="7">
        <v>0.12</v>
      </c>
      <c r="R184" s="6">
        <v>18853.12</v>
      </c>
      <c r="S184" s="6">
        <v>13385.72</v>
      </c>
      <c r="T184" s="6">
        <v>5467.4</v>
      </c>
      <c r="U184" s="8">
        <v>0.28999999999999998</v>
      </c>
      <c r="V184" s="4" t="s">
        <v>78</v>
      </c>
      <c r="W184" s="4" t="s">
        <v>87</v>
      </c>
      <c r="X184" s="4">
        <v>0</v>
      </c>
      <c r="Y184" s="4" t="s">
        <v>42</v>
      </c>
    </row>
    <row r="185" spans="1:25" x14ac:dyDescent="0.25">
      <c r="A185" s="4" t="s">
        <v>470</v>
      </c>
      <c r="B185" s="5" t="s">
        <v>270</v>
      </c>
      <c r="C185" s="4" t="s">
        <v>59</v>
      </c>
      <c r="D185" s="4" t="s">
        <v>60</v>
      </c>
      <c r="E185" s="4">
        <v>2025</v>
      </c>
      <c r="F185" s="4" t="s">
        <v>31</v>
      </c>
      <c r="G185" s="4" t="s">
        <v>61</v>
      </c>
      <c r="H185" s="4" t="s">
        <v>175</v>
      </c>
      <c r="I185" s="4" t="s">
        <v>94</v>
      </c>
      <c r="J185" s="4" t="s">
        <v>35</v>
      </c>
      <c r="K185" s="4" t="s">
        <v>120</v>
      </c>
      <c r="L185" s="4" t="s">
        <v>102</v>
      </c>
      <c r="M185" s="4" t="s">
        <v>113</v>
      </c>
      <c r="N185" s="4" t="s">
        <v>133</v>
      </c>
      <c r="O185" s="4">
        <v>16</v>
      </c>
      <c r="P185" s="6">
        <v>452</v>
      </c>
      <c r="Q185" s="7">
        <v>0.1</v>
      </c>
      <c r="R185" s="6">
        <v>6508.8</v>
      </c>
      <c r="S185" s="6">
        <v>4360.8999999999996</v>
      </c>
      <c r="T185" s="6">
        <v>2147.9</v>
      </c>
      <c r="U185" s="8">
        <v>0.33</v>
      </c>
      <c r="V185" s="4" t="s">
        <v>54</v>
      </c>
      <c r="W185" s="4" t="s">
        <v>87</v>
      </c>
      <c r="X185" s="4">
        <v>0</v>
      </c>
      <c r="Y185" s="4" t="s">
        <v>42</v>
      </c>
    </row>
    <row r="186" spans="1:25" x14ac:dyDescent="0.25">
      <c r="A186" s="4" t="s">
        <v>471</v>
      </c>
      <c r="B186" s="5" t="s">
        <v>314</v>
      </c>
      <c r="C186" s="4" t="s">
        <v>209</v>
      </c>
      <c r="D186" s="4" t="s">
        <v>68</v>
      </c>
      <c r="E186" s="4">
        <v>2025</v>
      </c>
      <c r="F186" s="4" t="s">
        <v>91</v>
      </c>
      <c r="G186" s="4" t="s">
        <v>183</v>
      </c>
      <c r="H186" s="4" t="s">
        <v>206</v>
      </c>
      <c r="I186" s="4" t="s">
        <v>94</v>
      </c>
      <c r="J186" s="4" t="s">
        <v>63</v>
      </c>
      <c r="K186" s="4" t="s">
        <v>36</v>
      </c>
      <c r="L186" s="4" t="s">
        <v>51</v>
      </c>
      <c r="M186" s="4" t="s">
        <v>52</v>
      </c>
      <c r="N186" s="4" t="s">
        <v>145</v>
      </c>
      <c r="O186" s="4">
        <v>5</v>
      </c>
      <c r="P186" s="6">
        <v>30800</v>
      </c>
      <c r="Q186" s="7">
        <v>0.08</v>
      </c>
      <c r="R186" s="6">
        <v>141680</v>
      </c>
      <c r="S186" s="6">
        <v>116177.60000000001</v>
      </c>
      <c r="T186" s="6">
        <v>25502.400000000001</v>
      </c>
      <c r="U186" s="8">
        <v>0.18</v>
      </c>
      <c r="V186" s="4" t="s">
        <v>105</v>
      </c>
      <c r="W186" s="4" t="s">
        <v>55</v>
      </c>
      <c r="X186" s="4">
        <v>3</v>
      </c>
      <c r="Y186" s="4" t="s">
        <v>42</v>
      </c>
    </row>
    <row r="187" spans="1:25" x14ac:dyDescent="0.25">
      <c r="A187" s="4" t="s">
        <v>472</v>
      </c>
      <c r="B187" s="5" t="s">
        <v>473</v>
      </c>
      <c r="C187" s="4" t="s">
        <v>98</v>
      </c>
      <c r="D187" s="4" t="s">
        <v>56</v>
      </c>
      <c r="E187" s="4">
        <v>2025</v>
      </c>
      <c r="F187" s="4" t="s">
        <v>99</v>
      </c>
      <c r="G187" s="4" t="s">
        <v>252</v>
      </c>
      <c r="H187" s="4" t="s">
        <v>253</v>
      </c>
      <c r="I187" s="4" t="s">
        <v>34</v>
      </c>
      <c r="J187" s="4" t="s">
        <v>35</v>
      </c>
      <c r="K187" s="4" t="s">
        <v>95</v>
      </c>
      <c r="L187" s="4" t="s">
        <v>51</v>
      </c>
      <c r="M187" s="4" t="s">
        <v>52</v>
      </c>
      <c r="N187" s="4" t="s">
        <v>53</v>
      </c>
      <c r="O187" s="4">
        <v>2</v>
      </c>
      <c r="P187" s="6">
        <v>59730</v>
      </c>
      <c r="Q187" s="7">
        <v>0.15</v>
      </c>
      <c r="R187" s="6">
        <v>101541</v>
      </c>
      <c r="S187" s="6">
        <v>89356.08</v>
      </c>
      <c r="T187" s="6">
        <v>12184.92</v>
      </c>
      <c r="U187" s="8">
        <v>0.12</v>
      </c>
      <c r="V187" s="4" t="s">
        <v>78</v>
      </c>
      <c r="W187" s="4" t="s">
        <v>87</v>
      </c>
      <c r="X187" s="4">
        <v>0</v>
      </c>
      <c r="Y187" s="4" t="s">
        <v>106</v>
      </c>
    </row>
    <row r="188" spans="1:25" x14ac:dyDescent="0.25">
      <c r="A188" s="4" t="s">
        <v>474</v>
      </c>
      <c r="B188" s="5" t="s">
        <v>475</v>
      </c>
      <c r="C188" s="4" t="s">
        <v>117</v>
      </c>
      <c r="D188" s="4" t="s">
        <v>56</v>
      </c>
      <c r="E188" s="4">
        <v>2025</v>
      </c>
      <c r="F188" s="4" t="s">
        <v>91</v>
      </c>
      <c r="G188" s="4" t="s">
        <v>148</v>
      </c>
      <c r="H188" s="4" t="s">
        <v>149</v>
      </c>
      <c r="I188" s="4" t="s">
        <v>34</v>
      </c>
      <c r="J188" s="4" t="s">
        <v>63</v>
      </c>
      <c r="K188" s="4" t="s">
        <v>74</v>
      </c>
      <c r="L188" s="4" t="s">
        <v>102</v>
      </c>
      <c r="M188" s="4" t="s">
        <v>113</v>
      </c>
      <c r="N188" s="4" t="s">
        <v>133</v>
      </c>
      <c r="O188" s="4">
        <v>19</v>
      </c>
      <c r="P188" s="6">
        <v>459</v>
      </c>
      <c r="Q188" s="7">
        <v>0.18</v>
      </c>
      <c r="R188" s="6">
        <v>7151.22</v>
      </c>
      <c r="S188" s="6">
        <v>4791.32</v>
      </c>
      <c r="T188" s="6">
        <v>2359.9</v>
      </c>
      <c r="U188" s="8">
        <v>0.33</v>
      </c>
      <c r="V188" s="4" t="s">
        <v>78</v>
      </c>
      <c r="W188" s="4" t="s">
        <v>87</v>
      </c>
      <c r="X188" s="4">
        <v>0</v>
      </c>
      <c r="Y188" s="4" t="s">
        <v>123</v>
      </c>
    </row>
    <row r="189" spans="1:25" x14ac:dyDescent="0.25">
      <c r="A189" s="4" t="s">
        <v>476</v>
      </c>
      <c r="B189" s="5" t="s">
        <v>477</v>
      </c>
      <c r="C189" s="4" t="s">
        <v>153</v>
      </c>
      <c r="D189" s="4" t="s">
        <v>68</v>
      </c>
      <c r="E189" s="4">
        <v>2025</v>
      </c>
      <c r="F189" s="4" t="s">
        <v>31</v>
      </c>
      <c r="G189" s="4" t="s">
        <v>61</v>
      </c>
      <c r="H189" s="4" t="s">
        <v>175</v>
      </c>
      <c r="I189" s="4" t="s">
        <v>94</v>
      </c>
      <c r="J189" s="4" t="s">
        <v>49</v>
      </c>
      <c r="K189" s="4" t="s">
        <v>64</v>
      </c>
      <c r="L189" s="4" t="s">
        <v>51</v>
      </c>
      <c r="M189" s="4" t="s">
        <v>52</v>
      </c>
      <c r="N189" s="4" t="s">
        <v>53</v>
      </c>
      <c r="O189" s="4">
        <v>1</v>
      </c>
      <c r="P189" s="6">
        <v>69386</v>
      </c>
      <c r="Q189" s="7">
        <v>0.12</v>
      </c>
      <c r="R189" s="6">
        <v>61059.68</v>
      </c>
      <c r="S189" s="6">
        <v>53732.52</v>
      </c>
      <c r="T189" s="6">
        <v>7327.16</v>
      </c>
      <c r="U189" s="8">
        <v>0.12</v>
      </c>
      <c r="V189" s="4" t="s">
        <v>67</v>
      </c>
      <c r="W189" s="4" t="s">
        <v>87</v>
      </c>
      <c r="X189" s="4">
        <v>0</v>
      </c>
      <c r="Y189" s="4" t="s">
        <v>123</v>
      </c>
    </row>
    <row r="190" spans="1:25" x14ac:dyDescent="0.25">
      <c r="A190" s="4" t="s">
        <v>478</v>
      </c>
      <c r="B190" s="5" t="s">
        <v>381</v>
      </c>
      <c r="C190" s="4" t="s">
        <v>59</v>
      </c>
      <c r="D190" s="4" t="s">
        <v>60</v>
      </c>
      <c r="E190" s="4">
        <v>2025</v>
      </c>
      <c r="F190" s="4" t="s">
        <v>99</v>
      </c>
      <c r="G190" s="4" t="s">
        <v>252</v>
      </c>
      <c r="H190" s="4" t="s">
        <v>253</v>
      </c>
      <c r="I190" s="4" t="s">
        <v>94</v>
      </c>
      <c r="J190" s="4" t="s">
        <v>35</v>
      </c>
      <c r="K190" s="4" t="s">
        <v>144</v>
      </c>
      <c r="L190" s="4" t="s">
        <v>75</v>
      </c>
      <c r="M190" s="4" t="s">
        <v>76</v>
      </c>
      <c r="N190" s="4" t="s">
        <v>140</v>
      </c>
      <c r="O190" s="4">
        <v>1</v>
      </c>
      <c r="P190" s="6">
        <v>19601</v>
      </c>
      <c r="Q190" s="7">
        <v>0.05</v>
      </c>
      <c r="R190" s="6">
        <v>18620.95</v>
      </c>
      <c r="S190" s="6">
        <v>14151.92</v>
      </c>
      <c r="T190" s="6">
        <v>4469.03</v>
      </c>
      <c r="U190" s="8">
        <v>0.24</v>
      </c>
      <c r="V190" s="4" t="s">
        <v>54</v>
      </c>
      <c r="W190" s="4" t="s">
        <v>41</v>
      </c>
      <c r="X190" s="4">
        <v>7</v>
      </c>
      <c r="Y190" s="4" t="s">
        <v>106</v>
      </c>
    </row>
    <row r="191" spans="1:25" x14ac:dyDescent="0.25">
      <c r="A191" s="4" t="s">
        <v>479</v>
      </c>
      <c r="B191" s="5" t="s">
        <v>452</v>
      </c>
      <c r="C191" s="4" t="s">
        <v>29</v>
      </c>
      <c r="D191" s="4" t="s">
        <v>30</v>
      </c>
      <c r="E191" s="4">
        <v>2025</v>
      </c>
      <c r="F191" s="4" t="s">
        <v>91</v>
      </c>
      <c r="G191" s="4" t="s">
        <v>183</v>
      </c>
      <c r="H191" s="4" t="s">
        <v>184</v>
      </c>
      <c r="I191" s="4" t="s">
        <v>94</v>
      </c>
      <c r="J191" s="4" t="s">
        <v>63</v>
      </c>
      <c r="K191" s="4" t="s">
        <v>86</v>
      </c>
      <c r="L191" s="4" t="s">
        <v>37</v>
      </c>
      <c r="M191" s="4" t="s">
        <v>38</v>
      </c>
      <c r="N191" s="4" t="s">
        <v>185</v>
      </c>
      <c r="O191" s="4">
        <v>8</v>
      </c>
      <c r="P191" s="6">
        <v>5628</v>
      </c>
      <c r="Q191" s="7">
        <v>0.06</v>
      </c>
      <c r="R191" s="6">
        <v>42322.559999999998</v>
      </c>
      <c r="S191" s="6">
        <v>26663.21</v>
      </c>
      <c r="T191" s="6">
        <v>15659.35</v>
      </c>
      <c r="U191" s="8">
        <v>0.37</v>
      </c>
      <c r="V191" s="4" t="s">
        <v>40</v>
      </c>
      <c r="W191" s="4" t="s">
        <v>41</v>
      </c>
      <c r="X191" s="4">
        <v>4</v>
      </c>
      <c r="Y191" s="4" t="s">
        <v>42</v>
      </c>
    </row>
    <row r="192" spans="1:25" x14ac:dyDescent="0.25">
      <c r="A192" s="4" t="s">
        <v>480</v>
      </c>
      <c r="B192" s="5" t="s">
        <v>481</v>
      </c>
      <c r="C192" s="4" t="s">
        <v>98</v>
      </c>
      <c r="D192" s="4" t="s">
        <v>56</v>
      </c>
      <c r="E192" s="4">
        <v>2025</v>
      </c>
      <c r="F192" s="4" t="s">
        <v>31</v>
      </c>
      <c r="G192" s="4" t="s">
        <v>188</v>
      </c>
      <c r="H192" s="4" t="s">
        <v>189</v>
      </c>
      <c r="I192" s="4" t="s">
        <v>94</v>
      </c>
      <c r="J192" s="4" t="s">
        <v>49</v>
      </c>
      <c r="K192" s="4" t="s">
        <v>74</v>
      </c>
      <c r="L192" s="4" t="s">
        <v>51</v>
      </c>
      <c r="M192" s="4" t="s">
        <v>128</v>
      </c>
      <c r="N192" s="4" t="s">
        <v>129</v>
      </c>
      <c r="O192" s="4">
        <v>3</v>
      </c>
      <c r="P192" s="6">
        <v>1965</v>
      </c>
      <c r="Q192" s="7">
        <v>0.13</v>
      </c>
      <c r="R192" s="6">
        <v>5128.6499999999996</v>
      </c>
      <c r="S192" s="6">
        <v>3590.05</v>
      </c>
      <c r="T192" s="6">
        <v>1538.6</v>
      </c>
      <c r="U192" s="8">
        <v>0.3</v>
      </c>
      <c r="V192" s="4" t="s">
        <v>78</v>
      </c>
      <c r="W192" s="4" t="s">
        <v>55</v>
      </c>
      <c r="X192" s="4">
        <v>3</v>
      </c>
      <c r="Y192" s="4" t="s">
        <v>42</v>
      </c>
    </row>
    <row r="193" spans="1:25" x14ac:dyDescent="0.25">
      <c r="A193" s="4" t="s">
        <v>482</v>
      </c>
      <c r="B193" s="5" t="s">
        <v>483</v>
      </c>
      <c r="C193" s="4" t="s">
        <v>153</v>
      </c>
      <c r="D193" s="4" t="s">
        <v>68</v>
      </c>
      <c r="E193" s="4">
        <v>2025</v>
      </c>
      <c r="F193" s="4" t="s">
        <v>91</v>
      </c>
      <c r="G193" s="4" t="s">
        <v>92</v>
      </c>
      <c r="H193" s="4" t="s">
        <v>93</v>
      </c>
      <c r="I193" s="4" t="s">
        <v>34</v>
      </c>
      <c r="J193" s="4" t="s">
        <v>63</v>
      </c>
      <c r="K193" s="4" t="s">
        <v>95</v>
      </c>
      <c r="L193" s="4" t="s">
        <v>51</v>
      </c>
      <c r="M193" s="4" t="s">
        <v>52</v>
      </c>
      <c r="N193" s="4" t="s">
        <v>145</v>
      </c>
      <c r="O193" s="4">
        <v>3</v>
      </c>
      <c r="P193" s="6">
        <v>31472</v>
      </c>
      <c r="Q193" s="7">
        <v>0.16</v>
      </c>
      <c r="R193" s="6">
        <v>79309.440000000002</v>
      </c>
      <c r="S193" s="6">
        <v>65033.74</v>
      </c>
      <c r="T193" s="6">
        <v>14275.7</v>
      </c>
      <c r="U193" s="8">
        <v>0.18</v>
      </c>
      <c r="V193" s="4" t="s">
        <v>54</v>
      </c>
      <c r="W193" s="4" t="s">
        <v>55</v>
      </c>
      <c r="X193" s="4">
        <v>2</v>
      </c>
      <c r="Y193" s="4" t="s">
        <v>42</v>
      </c>
    </row>
    <row r="194" spans="1:25" x14ac:dyDescent="0.25">
      <c r="A194" s="4" t="s">
        <v>484</v>
      </c>
      <c r="B194" s="5" t="s">
        <v>440</v>
      </c>
      <c r="C194" s="4" t="s">
        <v>117</v>
      </c>
      <c r="D194" s="4" t="s">
        <v>56</v>
      </c>
      <c r="E194" s="4">
        <v>2025</v>
      </c>
      <c r="F194" s="4" t="s">
        <v>31</v>
      </c>
      <c r="G194" s="4" t="s">
        <v>188</v>
      </c>
      <c r="H194" s="4" t="s">
        <v>189</v>
      </c>
      <c r="I194" s="4" t="s">
        <v>94</v>
      </c>
      <c r="J194" s="4" t="s">
        <v>63</v>
      </c>
      <c r="K194" s="4" t="s">
        <v>50</v>
      </c>
      <c r="L194" s="4" t="s">
        <v>37</v>
      </c>
      <c r="M194" s="4" t="s">
        <v>80</v>
      </c>
      <c r="N194" s="4" t="s">
        <v>81</v>
      </c>
      <c r="O194" s="4">
        <v>12</v>
      </c>
      <c r="P194" s="6">
        <v>1812</v>
      </c>
      <c r="Q194" s="7">
        <v>0.13</v>
      </c>
      <c r="R194" s="6">
        <v>18917.28</v>
      </c>
      <c r="S194" s="6">
        <v>10972.02</v>
      </c>
      <c r="T194" s="6">
        <v>7945.26</v>
      </c>
      <c r="U194" s="8">
        <v>0.42</v>
      </c>
      <c r="V194" s="4" t="s">
        <v>40</v>
      </c>
      <c r="W194" s="4" t="s">
        <v>41</v>
      </c>
      <c r="X194" s="4">
        <v>7</v>
      </c>
      <c r="Y194" s="4" t="s">
        <v>88</v>
      </c>
    </row>
    <row r="195" spans="1:25" x14ac:dyDescent="0.25">
      <c r="A195" s="4" t="s">
        <v>485</v>
      </c>
      <c r="B195" s="5" t="s">
        <v>486</v>
      </c>
      <c r="C195" s="4" t="s">
        <v>98</v>
      </c>
      <c r="D195" s="4" t="s">
        <v>56</v>
      </c>
      <c r="E195" s="4">
        <v>2025</v>
      </c>
      <c r="F195" s="4" t="s">
        <v>31</v>
      </c>
      <c r="G195" s="4" t="s">
        <v>61</v>
      </c>
      <c r="H195" s="4" t="s">
        <v>175</v>
      </c>
      <c r="I195" s="4" t="s">
        <v>48</v>
      </c>
      <c r="J195" s="4" t="s">
        <v>49</v>
      </c>
      <c r="K195" s="4" t="s">
        <v>36</v>
      </c>
      <c r="L195" s="4" t="s">
        <v>51</v>
      </c>
      <c r="M195" s="4" t="s">
        <v>128</v>
      </c>
      <c r="N195" s="4" t="s">
        <v>129</v>
      </c>
      <c r="O195" s="4">
        <v>6</v>
      </c>
      <c r="P195" s="6">
        <v>2923</v>
      </c>
      <c r="Q195" s="7">
        <v>0.02</v>
      </c>
      <c r="R195" s="6">
        <v>17187.240000000002</v>
      </c>
      <c r="S195" s="6">
        <v>12031.07</v>
      </c>
      <c r="T195" s="6">
        <v>5156.17</v>
      </c>
      <c r="U195" s="8">
        <v>0.3</v>
      </c>
      <c r="V195" s="4" t="s">
        <v>105</v>
      </c>
      <c r="W195" s="4" t="s">
        <v>41</v>
      </c>
      <c r="X195" s="4">
        <v>4</v>
      </c>
      <c r="Y195" s="4" t="s">
        <v>123</v>
      </c>
    </row>
    <row r="196" spans="1:25" x14ac:dyDescent="0.25">
      <c r="A196" s="4" t="s">
        <v>487</v>
      </c>
      <c r="B196" s="5" t="s">
        <v>442</v>
      </c>
      <c r="C196" s="4" t="s">
        <v>71</v>
      </c>
      <c r="D196" s="4" t="s">
        <v>68</v>
      </c>
      <c r="E196" s="4">
        <v>2025</v>
      </c>
      <c r="F196" s="4" t="s">
        <v>91</v>
      </c>
      <c r="G196" s="4" t="s">
        <v>183</v>
      </c>
      <c r="H196" s="4" t="s">
        <v>206</v>
      </c>
      <c r="I196" s="4" t="s">
        <v>94</v>
      </c>
      <c r="J196" s="4" t="s">
        <v>49</v>
      </c>
      <c r="K196" s="4" t="s">
        <v>74</v>
      </c>
      <c r="L196" s="4" t="s">
        <v>102</v>
      </c>
      <c r="M196" s="4" t="s">
        <v>103</v>
      </c>
      <c r="N196" s="4" t="s">
        <v>104</v>
      </c>
      <c r="O196" s="4">
        <v>30</v>
      </c>
      <c r="P196" s="6">
        <v>104</v>
      </c>
      <c r="Q196" s="7">
        <v>0.11</v>
      </c>
      <c r="R196" s="6">
        <v>2776.8</v>
      </c>
      <c r="S196" s="6">
        <v>1777.15</v>
      </c>
      <c r="T196" s="6">
        <v>999.65</v>
      </c>
      <c r="U196" s="8">
        <v>0.36</v>
      </c>
      <c r="V196" s="4" t="s">
        <v>78</v>
      </c>
      <c r="W196" s="4" t="s">
        <v>87</v>
      </c>
      <c r="X196" s="4">
        <v>0</v>
      </c>
      <c r="Y196" s="4" t="s">
        <v>88</v>
      </c>
    </row>
    <row r="197" spans="1:25" x14ac:dyDescent="0.25">
      <c r="A197" s="4" t="s">
        <v>488</v>
      </c>
      <c r="B197" s="5" t="s">
        <v>348</v>
      </c>
      <c r="C197" s="4" t="s">
        <v>71</v>
      </c>
      <c r="D197" s="4" t="s">
        <v>68</v>
      </c>
      <c r="E197" s="4">
        <v>2025</v>
      </c>
      <c r="F197" s="4" t="s">
        <v>99</v>
      </c>
      <c r="G197" s="4" t="s">
        <v>214</v>
      </c>
      <c r="H197" s="4" t="s">
        <v>325</v>
      </c>
      <c r="I197" s="4" t="s">
        <v>94</v>
      </c>
      <c r="J197" s="4" t="s">
        <v>63</v>
      </c>
      <c r="K197" s="4" t="s">
        <v>86</v>
      </c>
      <c r="L197" s="4" t="s">
        <v>102</v>
      </c>
      <c r="M197" s="4" t="s">
        <v>103</v>
      </c>
      <c r="N197" s="4" t="s">
        <v>238</v>
      </c>
      <c r="O197" s="4">
        <v>21</v>
      </c>
      <c r="P197" s="6">
        <v>74</v>
      </c>
      <c r="Q197" s="7">
        <v>0.06</v>
      </c>
      <c r="R197" s="6">
        <v>1460.76</v>
      </c>
      <c r="S197" s="6">
        <v>905.67</v>
      </c>
      <c r="T197" s="6">
        <v>555.09</v>
      </c>
      <c r="U197" s="8">
        <v>0.38</v>
      </c>
      <c r="V197" s="4" t="s">
        <v>54</v>
      </c>
      <c r="W197" s="4" t="s">
        <v>41</v>
      </c>
      <c r="X197" s="4">
        <v>7</v>
      </c>
      <c r="Y197" s="4" t="s">
        <v>42</v>
      </c>
    </row>
    <row r="198" spans="1:25" x14ac:dyDescent="0.25">
      <c r="A198" s="4" t="s">
        <v>489</v>
      </c>
      <c r="B198" s="5" t="s">
        <v>490</v>
      </c>
      <c r="C198" s="4" t="s">
        <v>117</v>
      </c>
      <c r="D198" s="4" t="s">
        <v>56</v>
      </c>
      <c r="E198" s="4">
        <v>2025</v>
      </c>
      <c r="F198" s="4" t="s">
        <v>31</v>
      </c>
      <c r="G198" s="4" t="s">
        <v>188</v>
      </c>
      <c r="H198" s="4" t="s">
        <v>189</v>
      </c>
      <c r="I198" s="4" t="s">
        <v>94</v>
      </c>
      <c r="J198" s="4" t="s">
        <v>35</v>
      </c>
      <c r="K198" s="4" t="s">
        <v>64</v>
      </c>
      <c r="L198" s="4" t="s">
        <v>51</v>
      </c>
      <c r="M198" s="4" t="s">
        <v>65</v>
      </c>
      <c r="N198" s="4" t="s">
        <v>66</v>
      </c>
      <c r="O198" s="4">
        <v>1</v>
      </c>
      <c r="P198" s="6">
        <v>54566</v>
      </c>
      <c r="Q198" s="7">
        <v>0.06</v>
      </c>
      <c r="R198" s="6">
        <v>51292.04</v>
      </c>
      <c r="S198" s="6">
        <v>43598.23</v>
      </c>
      <c r="T198" s="6">
        <v>7693.81</v>
      </c>
      <c r="U198" s="8">
        <v>0.15</v>
      </c>
      <c r="V198" s="4" t="s">
        <v>54</v>
      </c>
      <c r="W198" s="4" t="s">
        <v>87</v>
      </c>
      <c r="X198" s="4">
        <v>0</v>
      </c>
      <c r="Y198" s="4" t="s">
        <v>123</v>
      </c>
    </row>
    <row r="199" spans="1:25" x14ac:dyDescent="0.25">
      <c r="A199" s="4" t="s">
        <v>491</v>
      </c>
      <c r="B199" s="5" t="s">
        <v>312</v>
      </c>
      <c r="C199" s="4" t="s">
        <v>29</v>
      </c>
      <c r="D199" s="4" t="s">
        <v>30</v>
      </c>
      <c r="E199" s="4">
        <v>2025</v>
      </c>
      <c r="F199" s="4" t="s">
        <v>31</v>
      </c>
      <c r="G199" s="4" t="s">
        <v>32</v>
      </c>
      <c r="H199" s="4" t="s">
        <v>33</v>
      </c>
      <c r="I199" s="4" t="s">
        <v>94</v>
      </c>
      <c r="J199" s="4" t="s">
        <v>49</v>
      </c>
      <c r="K199" s="4" t="s">
        <v>86</v>
      </c>
      <c r="L199" s="4" t="s">
        <v>51</v>
      </c>
      <c r="M199" s="4" t="s">
        <v>128</v>
      </c>
      <c r="N199" s="4" t="s">
        <v>228</v>
      </c>
      <c r="O199" s="4">
        <v>5</v>
      </c>
      <c r="P199" s="6">
        <v>1329</v>
      </c>
      <c r="Q199" s="7">
        <v>0.06</v>
      </c>
      <c r="R199" s="6">
        <v>6246.3</v>
      </c>
      <c r="S199" s="6">
        <v>4247.4799999999996</v>
      </c>
      <c r="T199" s="6">
        <v>1998.82</v>
      </c>
      <c r="U199" s="8">
        <v>0.32</v>
      </c>
      <c r="V199" s="4" t="s">
        <v>54</v>
      </c>
      <c r="W199" s="4" t="s">
        <v>55</v>
      </c>
      <c r="X199" s="4">
        <v>3</v>
      </c>
      <c r="Y199" s="4" t="s">
        <v>42</v>
      </c>
    </row>
    <row r="200" spans="1:25" x14ac:dyDescent="0.25">
      <c r="A200" s="4" t="s">
        <v>492</v>
      </c>
      <c r="B200" s="5" t="s">
        <v>310</v>
      </c>
      <c r="C200" s="4" t="s">
        <v>71</v>
      </c>
      <c r="D200" s="4" t="s">
        <v>68</v>
      </c>
      <c r="E200" s="4">
        <v>2025</v>
      </c>
      <c r="F200" s="4" t="s">
        <v>31</v>
      </c>
      <c r="G200" s="4" t="s">
        <v>188</v>
      </c>
      <c r="H200" s="4" t="s">
        <v>189</v>
      </c>
      <c r="I200" s="4" t="s">
        <v>48</v>
      </c>
      <c r="J200" s="4" t="s">
        <v>35</v>
      </c>
      <c r="K200" s="4" t="s">
        <v>50</v>
      </c>
      <c r="L200" s="4" t="s">
        <v>37</v>
      </c>
      <c r="M200" s="4" t="s">
        <v>38</v>
      </c>
      <c r="N200" s="4" t="s">
        <v>39</v>
      </c>
      <c r="O200" s="4">
        <v>10</v>
      </c>
      <c r="P200" s="6">
        <v>2466</v>
      </c>
      <c r="Q200" s="7">
        <v>0.04</v>
      </c>
      <c r="R200" s="6">
        <v>23673.599999999999</v>
      </c>
      <c r="S200" s="6">
        <v>13493.95</v>
      </c>
      <c r="T200" s="6">
        <v>10179.65</v>
      </c>
      <c r="U200" s="8">
        <v>0.43</v>
      </c>
      <c r="V200" s="4" t="s">
        <v>105</v>
      </c>
      <c r="W200" s="4" t="s">
        <v>41</v>
      </c>
      <c r="X200" s="4">
        <v>4</v>
      </c>
      <c r="Y200" s="4" t="s">
        <v>123</v>
      </c>
    </row>
    <row r="201" spans="1:25" x14ac:dyDescent="0.25">
      <c r="A201" s="4" t="s">
        <v>493</v>
      </c>
      <c r="B201" s="5" t="s">
        <v>70</v>
      </c>
      <c r="C201" s="4" t="s">
        <v>71</v>
      </c>
      <c r="D201" s="4" t="s">
        <v>68</v>
      </c>
      <c r="E201" s="4">
        <v>2025</v>
      </c>
      <c r="F201" s="4" t="s">
        <v>45</v>
      </c>
      <c r="G201" s="4" t="s">
        <v>110</v>
      </c>
      <c r="H201" s="4" t="s">
        <v>160</v>
      </c>
      <c r="I201" s="4" t="s">
        <v>94</v>
      </c>
      <c r="J201" s="4" t="s">
        <v>35</v>
      </c>
      <c r="K201" s="4" t="s">
        <v>74</v>
      </c>
      <c r="L201" s="4" t="s">
        <v>37</v>
      </c>
      <c r="M201" s="4" t="s">
        <v>80</v>
      </c>
      <c r="N201" s="4" t="s">
        <v>150</v>
      </c>
      <c r="O201" s="4">
        <v>11</v>
      </c>
      <c r="P201" s="6">
        <v>2686</v>
      </c>
      <c r="Q201" s="7">
        <v>0.14000000000000001</v>
      </c>
      <c r="R201" s="6">
        <v>25409.56</v>
      </c>
      <c r="S201" s="6">
        <v>15245.74</v>
      </c>
      <c r="T201" s="6">
        <v>10163.82</v>
      </c>
      <c r="U201" s="8">
        <v>0.4</v>
      </c>
      <c r="V201" s="4" t="s">
        <v>67</v>
      </c>
      <c r="W201" s="4" t="s">
        <v>55</v>
      </c>
      <c r="X201" s="4">
        <v>3</v>
      </c>
      <c r="Y201" s="4" t="s">
        <v>42</v>
      </c>
    </row>
    <row r="202" spans="1:25" x14ac:dyDescent="0.25">
      <c r="A202" s="4" t="s">
        <v>494</v>
      </c>
      <c r="B202" s="5" t="s">
        <v>495</v>
      </c>
      <c r="C202" s="4" t="s">
        <v>109</v>
      </c>
      <c r="D202" s="4" t="s">
        <v>60</v>
      </c>
      <c r="E202" s="4">
        <v>2025</v>
      </c>
      <c r="F202" s="4" t="s">
        <v>31</v>
      </c>
      <c r="G202" s="4" t="s">
        <v>61</v>
      </c>
      <c r="H202" s="4" t="s">
        <v>62</v>
      </c>
      <c r="I202" s="4" t="s">
        <v>94</v>
      </c>
      <c r="J202" s="4" t="s">
        <v>63</v>
      </c>
      <c r="K202" s="4" t="s">
        <v>64</v>
      </c>
      <c r="L202" s="4" t="s">
        <v>51</v>
      </c>
      <c r="M202" s="4" t="s">
        <v>128</v>
      </c>
      <c r="N202" s="4" t="s">
        <v>129</v>
      </c>
      <c r="O202" s="4">
        <v>4</v>
      </c>
      <c r="P202" s="6">
        <v>2735</v>
      </c>
      <c r="Q202" s="7">
        <v>0.08</v>
      </c>
      <c r="R202" s="6">
        <v>10064.799999999999</v>
      </c>
      <c r="S202" s="6">
        <v>7045.36</v>
      </c>
      <c r="T202" s="6">
        <v>3019.44</v>
      </c>
      <c r="U202" s="8">
        <v>0.3</v>
      </c>
      <c r="V202" s="4" t="s">
        <v>78</v>
      </c>
      <c r="W202" s="4" t="s">
        <v>41</v>
      </c>
      <c r="X202" s="4">
        <v>4</v>
      </c>
      <c r="Y202" s="4" t="s">
        <v>42</v>
      </c>
    </row>
    <row r="203" spans="1:25" x14ac:dyDescent="0.25">
      <c r="A203" s="4" t="s">
        <v>496</v>
      </c>
      <c r="B203" s="5" t="s">
        <v>97</v>
      </c>
      <c r="C203" s="4" t="s">
        <v>98</v>
      </c>
      <c r="D203" s="4" t="s">
        <v>56</v>
      </c>
      <c r="E203" s="4">
        <v>2025</v>
      </c>
      <c r="F203" s="4" t="s">
        <v>31</v>
      </c>
      <c r="G203" s="4" t="s">
        <v>188</v>
      </c>
      <c r="H203" s="4" t="s">
        <v>189</v>
      </c>
      <c r="I203" s="4" t="s">
        <v>34</v>
      </c>
      <c r="J203" s="4" t="s">
        <v>35</v>
      </c>
      <c r="K203" s="4" t="s">
        <v>144</v>
      </c>
      <c r="L203" s="4" t="s">
        <v>102</v>
      </c>
      <c r="M203" s="4" t="s">
        <v>113</v>
      </c>
      <c r="N203" s="4" t="s">
        <v>133</v>
      </c>
      <c r="O203" s="4">
        <v>6</v>
      </c>
      <c r="P203" s="6">
        <v>369</v>
      </c>
      <c r="Q203" s="7">
        <v>0.11</v>
      </c>
      <c r="R203" s="6">
        <v>1970.46</v>
      </c>
      <c r="S203" s="6">
        <v>1320.21</v>
      </c>
      <c r="T203" s="6">
        <v>650.25</v>
      </c>
      <c r="U203" s="8">
        <v>0.33</v>
      </c>
      <c r="V203" s="4" t="s">
        <v>105</v>
      </c>
      <c r="W203" s="4" t="s">
        <v>55</v>
      </c>
      <c r="X203" s="4">
        <v>1</v>
      </c>
      <c r="Y203" s="4" t="s">
        <v>123</v>
      </c>
    </row>
    <row r="204" spans="1:25" x14ac:dyDescent="0.25">
      <c r="A204" s="4" t="s">
        <v>497</v>
      </c>
      <c r="B204" s="5" t="s">
        <v>108</v>
      </c>
      <c r="C204" s="4" t="s">
        <v>109</v>
      </c>
      <c r="D204" s="4" t="s">
        <v>60</v>
      </c>
      <c r="E204" s="4">
        <v>2025</v>
      </c>
      <c r="F204" s="4" t="s">
        <v>99</v>
      </c>
      <c r="G204" s="4" t="s">
        <v>118</v>
      </c>
      <c r="H204" s="4" t="s">
        <v>196</v>
      </c>
      <c r="I204" s="4" t="s">
        <v>34</v>
      </c>
      <c r="J204" s="4" t="s">
        <v>49</v>
      </c>
      <c r="K204" s="4" t="s">
        <v>50</v>
      </c>
      <c r="L204" s="4" t="s">
        <v>102</v>
      </c>
      <c r="M204" s="4" t="s">
        <v>113</v>
      </c>
      <c r="N204" s="4" t="s">
        <v>114</v>
      </c>
      <c r="O204" s="4">
        <v>10</v>
      </c>
      <c r="P204" s="6">
        <v>401</v>
      </c>
      <c r="Q204" s="7">
        <v>0.14000000000000001</v>
      </c>
      <c r="R204" s="6">
        <v>3448.6</v>
      </c>
      <c r="S204" s="6">
        <v>2276.08</v>
      </c>
      <c r="T204" s="6">
        <v>1172.52</v>
      </c>
      <c r="U204" s="8">
        <v>0.34</v>
      </c>
      <c r="V204" s="4" t="s">
        <v>67</v>
      </c>
      <c r="W204" s="4" t="s">
        <v>41</v>
      </c>
      <c r="X204" s="4">
        <v>7</v>
      </c>
      <c r="Y204" s="4" t="s">
        <v>42</v>
      </c>
    </row>
    <row r="205" spans="1:25" x14ac:dyDescent="0.25">
      <c r="A205" s="4" t="s">
        <v>498</v>
      </c>
      <c r="B205" s="5" t="s">
        <v>499</v>
      </c>
      <c r="C205" s="4" t="s">
        <v>153</v>
      </c>
      <c r="D205" s="4" t="s">
        <v>68</v>
      </c>
      <c r="E205" s="4">
        <v>2025</v>
      </c>
      <c r="F205" s="4" t="s">
        <v>31</v>
      </c>
      <c r="G205" s="4" t="s">
        <v>61</v>
      </c>
      <c r="H205" s="4" t="s">
        <v>62</v>
      </c>
      <c r="I205" s="4" t="s">
        <v>94</v>
      </c>
      <c r="J205" s="4" t="s">
        <v>63</v>
      </c>
      <c r="K205" s="4" t="s">
        <v>36</v>
      </c>
      <c r="L205" s="4" t="s">
        <v>51</v>
      </c>
      <c r="M205" s="4" t="s">
        <v>65</v>
      </c>
      <c r="N205" s="4" t="s">
        <v>66</v>
      </c>
      <c r="O205" s="4">
        <v>3</v>
      </c>
      <c r="P205" s="6">
        <v>60121</v>
      </c>
      <c r="Q205" s="7">
        <v>0.06</v>
      </c>
      <c r="R205" s="6">
        <v>169541.22</v>
      </c>
      <c r="S205" s="6">
        <v>144110.04</v>
      </c>
      <c r="T205" s="6">
        <v>25431.18</v>
      </c>
      <c r="U205" s="8">
        <v>0.15</v>
      </c>
      <c r="V205" s="4" t="s">
        <v>67</v>
      </c>
      <c r="W205" s="4" t="s">
        <v>55</v>
      </c>
      <c r="X205" s="4">
        <v>1</v>
      </c>
      <c r="Y205" s="4" t="s">
        <v>88</v>
      </c>
    </row>
    <row r="206" spans="1:25" x14ac:dyDescent="0.25">
      <c r="A206" s="4" t="s">
        <v>500</v>
      </c>
      <c r="B206" s="5" t="s">
        <v>501</v>
      </c>
      <c r="C206" s="4" t="s">
        <v>71</v>
      </c>
      <c r="D206" s="4" t="s">
        <v>68</v>
      </c>
      <c r="E206" s="4">
        <v>2025</v>
      </c>
      <c r="F206" s="4" t="s">
        <v>99</v>
      </c>
      <c r="G206" s="4" t="s">
        <v>100</v>
      </c>
      <c r="H206" s="4" t="s">
        <v>101</v>
      </c>
      <c r="I206" s="4" t="s">
        <v>94</v>
      </c>
      <c r="J206" s="4" t="s">
        <v>35</v>
      </c>
      <c r="K206" s="4" t="s">
        <v>156</v>
      </c>
      <c r="L206" s="4" t="s">
        <v>102</v>
      </c>
      <c r="M206" s="4" t="s">
        <v>103</v>
      </c>
      <c r="N206" s="4" t="s">
        <v>238</v>
      </c>
      <c r="O206" s="4">
        <v>30</v>
      </c>
      <c r="P206" s="6">
        <v>111</v>
      </c>
      <c r="Q206" s="7">
        <v>0.15</v>
      </c>
      <c r="R206" s="6">
        <v>2830.5</v>
      </c>
      <c r="S206" s="6">
        <v>1754.91</v>
      </c>
      <c r="T206" s="6">
        <v>1075.5899999999999</v>
      </c>
      <c r="U206" s="8">
        <v>0.38</v>
      </c>
      <c r="V206" s="4" t="s">
        <v>40</v>
      </c>
      <c r="W206" s="4" t="s">
        <v>55</v>
      </c>
      <c r="X206" s="4">
        <v>3</v>
      </c>
      <c r="Y206" s="4" t="s">
        <v>42</v>
      </c>
    </row>
    <row r="207" spans="1:25" x14ac:dyDescent="0.25">
      <c r="A207" s="4" t="s">
        <v>502</v>
      </c>
      <c r="B207" s="5" t="s">
        <v>503</v>
      </c>
      <c r="C207" s="4" t="s">
        <v>192</v>
      </c>
      <c r="D207" s="4" t="s">
        <v>30</v>
      </c>
      <c r="E207" s="4">
        <v>2025</v>
      </c>
      <c r="F207" s="4" t="s">
        <v>99</v>
      </c>
      <c r="G207" s="4" t="s">
        <v>252</v>
      </c>
      <c r="H207" s="4" t="s">
        <v>253</v>
      </c>
      <c r="I207" s="4" t="s">
        <v>94</v>
      </c>
      <c r="J207" s="4" t="s">
        <v>35</v>
      </c>
      <c r="K207" s="4" t="s">
        <v>50</v>
      </c>
      <c r="L207" s="4" t="s">
        <v>75</v>
      </c>
      <c r="M207" s="4" t="s">
        <v>121</v>
      </c>
      <c r="N207" s="4" t="s">
        <v>137</v>
      </c>
      <c r="O207" s="4">
        <v>1</v>
      </c>
      <c r="P207" s="6">
        <v>10351</v>
      </c>
      <c r="Q207" s="7">
        <v>0.06</v>
      </c>
      <c r="R207" s="6">
        <v>9729.94</v>
      </c>
      <c r="S207" s="6">
        <v>7200.16</v>
      </c>
      <c r="T207" s="6">
        <v>2529.7800000000002</v>
      </c>
      <c r="U207" s="8">
        <v>0.26</v>
      </c>
      <c r="V207" s="4" t="s">
        <v>78</v>
      </c>
      <c r="W207" s="4" t="s">
        <v>55</v>
      </c>
      <c r="X207" s="4">
        <v>2</v>
      </c>
      <c r="Y207" s="4" t="s">
        <v>42</v>
      </c>
    </row>
    <row r="208" spans="1:25" x14ac:dyDescent="0.25">
      <c r="A208" s="4" t="s">
        <v>504</v>
      </c>
      <c r="B208" s="5" t="s">
        <v>505</v>
      </c>
      <c r="C208" s="4" t="s">
        <v>159</v>
      </c>
      <c r="D208" s="4" t="s">
        <v>56</v>
      </c>
      <c r="E208" s="4">
        <v>2025</v>
      </c>
      <c r="F208" s="4" t="s">
        <v>31</v>
      </c>
      <c r="G208" s="4" t="s">
        <v>61</v>
      </c>
      <c r="H208" s="4" t="s">
        <v>175</v>
      </c>
      <c r="I208" s="4" t="s">
        <v>48</v>
      </c>
      <c r="J208" s="4" t="s">
        <v>49</v>
      </c>
      <c r="K208" s="4" t="s">
        <v>36</v>
      </c>
      <c r="L208" s="4" t="s">
        <v>102</v>
      </c>
      <c r="M208" s="4" t="s">
        <v>113</v>
      </c>
      <c r="N208" s="4" t="s">
        <v>133</v>
      </c>
      <c r="O208" s="4">
        <v>11</v>
      </c>
      <c r="P208" s="6">
        <v>410</v>
      </c>
      <c r="Q208" s="7">
        <v>0.06</v>
      </c>
      <c r="R208" s="6">
        <v>4239.3999999999996</v>
      </c>
      <c r="S208" s="6">
        <v>2840.4</v>
      </c>
      <c r="T208" s="6">
        <v>1399</v>
      </c>
      <c r="U208" s="8">
        <v>0.33</v>
      </c>
      <c r="V208" s="4" t="s">
        <v>78</v>
      </c>
      <c r="W208" s="4" t="s">
        <v>41</v>
      </c>
      <c r="X208" s="4">
        <v>3</v>
      </c>
      <c r="Y208" s="4" t="s">
        <v>42</v>
      </c>
    </row>
    <row r="209" spans="1:25" x14ac:dyDescent="0.25">
      <c r="A209" s="4" t="s">
        <v>506</v>
      </c>
      <c r="B209" s="5" t="s">
        <v>507</v>
      </c>
      <c r="C209" s="4" t="s">
        <v>117</v>
      </c>
      <c r="D209" s="4" t="s">
        <v>56</v>
      </c>
      <c r="E209" s="4">
        <v>2025</v>
      </c>
      <c r="F209" s="4" t="s">
        <v>31</v>
      </c>
      <c r="G209" s="4" t="s">
        <v>32</v>
      </c>
      <c r="H209" s="4" t="s">
        <v>33</v>
      </c>
      <c r="I209" s="4" t="s">
        <v>94</v>
      </c>
      <c r="J209" s="4" t="s">
        <v>49</v>
      </c>
      <c r="K209" s="4" t="s">
        <v>74</v>
      </c>
      <c r="L209" s="4" t="s">
        <v>102</v>
      </c>
      <c r="M209" s="4" t="s">
        <v>113</v>
      </c>
      <c r="N209" s="4" t="s">
        <v>114</v>
      </c>
      <c r="O209" s="4">
        <v>8</v>
      </c>
      <c r="P209" s="6">
        <v>203</v>
      </c>
      <c r="Q209" s="7">
        <v>0.11</v>
      </c>
      <c r="R209" s="6">
        <v>1445.36</v>
      </c>
      <c r="S209" s="6">
        <v>953.94</v>
      </c>
      <c r="T209" s="6">
        <v>491.42</v>
      </c>
      <c r="U209" s="8">
        <v>0.34</v>
      </c>
      <c r="V209" s="4" t="s">
        <v>54</v>
      </c>
      <c r="W209" s="4" t="s">
        <v>87</v>
      </c>
      <c r="X209" s="4">
        <v>0</v>
      </c>
      <c r="Y209" s="4" t="s">
        <v>42</v>
      </c>
    </row>
    <row r="210" spans="1:25" x14ac:dyDescent="0.25">
      <c r="A210" s="4" t="s">
        <v>508</v>
      </c>
      <c r="B210" s="5" t="s">
        <v>97</v>
      </c>
      <c r="C210" s="4" t="s">
        <v>98</v>
      </c>
      <c r="D210" s="4" t="s">
        <v>56</v>
      </c>
      <c r="E210" s="4">
        <v>2025</v>
      </c>
      <c r="F210" s="4" t="s">
        <v>99</v>
      </c>
      <c r="G210" s="4" t="s">
        <v>100</v>
      </c>
      <c r="H210" s="4" t="s">
        <v>101</v>
      </c>
      <c r="I210" s="4" t="s">
        <v>48</v>
      </c>
      <c r="J210" s="4" t="s">
        <v>35</v>
      </c>
      <c r="K210" s="4" t="s">
        <v>74</v>
      </c>
      <c r="L210" s="4" t="s">
        <v>102</v>
      </c>
      <c r="M210" s="4" t="s">
        <v>103</v>
      </c>
      <c r="N210" s="4" t="s">
        <v>104</v>
      </c>
      <c r="O210" s="4">
        <v>8</v>
      </c>
      <c r="P210" s="6">
        <v>116</v>
      </c>
      <c r="Q210" s="7">
        <v>0.06</v>
      </c>
      <c r="R210" s="6">
        <v>872.32</v>
      </c>
      <c r="S210" s="6">
        <v>558.28</v>
      </c>
      <c r="T210" s="6">
        <v>314.04000000000002</v>
      </c>
      <c r="U210" s="8">
        <v>0.36</v>
      </c>
      <c r="V210" s="4" t="s">
        <v>54</v>
      </c>
      <c r="W210" s="4" t="s">
        <v>41</v>
      </c>
      <c r="X210" s="4">
        <v>5</v>
      </c>
      <c r="Y210" s="4" t="s">
        <v>42</v>
      </c>
    </row>
    <row r="211" spans="1:25" x14ac:dyDescent="0.25">
      <c r="A211" s="4" t="s">
        <v>509</v>
      </c>
      <c r="B211" s="5" t="s">
        <v>332</v>
      </c>
      <c r="C211" s="4" t="s">
        <v>117</v>
      </c>
      <c r="D211" s="4" t="s">
        <v>56</v>
      </c>
      <c r="E211" s="4">
        <v>2025</v>
      </c>
      <c r="F211" s="4" t="s">
        <v>99</v>
      </c>
      <c r="G211" s="4" t="s">
        <v>252</v>
      </c>
      <c r="H211" s="4" t="s">
        <v>277</v>
      </c>
      <c r="I211" s="4" t="s">
        <v>34</v>
      </c>
      <c r="J211" s="4" t="s">
        <v>63</v>
      </c>
      <c r="K211" s="4" t="s">
        <v>50</v>
      </c>
      <c r="L211" s="4" t="s">
        <v>51</v>
      </c>
      <c r="M211" s="4" t="s">
        <v>65</v>
      </c>
      <c r="N211" s="4" t="s">
        <v>247</v>
      </c>
      <c r="O211" s="4">
        <v>1</v>
      </c>
      <c r="P211" s="6">
        <v>51699</v>
      </c>
      <c r="Q211" s="7">
        <v>0.12</v>
      </c>
      <c r="R211" s="6">
        <v>45495.12</v>
      </c>
      <c r="S211" s="6">
        <v>38215.9</v>
      </c>
      <c r="T211" s="6">
        <v>7279.22</v>
      </c>
      <c r="U211" s="8">
        <v>0.16</v>
      </c>
      <c r="V211" s="4" t="s">
        <v>40</v>
      </c>
      <c r="W211" s="4" t="s">
        <v>41</v>
      </c>
      <c r="X211" s="4">
        <v>4</v>
      </c>
      <c r="Y211" s="4" t="s">
        <v>123</v>
      </c>
    </row>
    <row r="212" spans="1:25" x14ac:dyDescent="0.25">
      <c r="A212" s="4" t="s">
        <v>510</v>
      </c>
      <c r="B212" s="5" t="s">
        <v>511</v>
      </c>
      <c r="C212" s="4" t="s">
        <v>71</v>
      </c>
      <c r="D212" s="4" t="s">
        <v>68</v>
      </c>
      <c r="E212" s="4">
        <v>2025</v>
      </c>
      <c r="F212" s="4" t="s">
        <v>91</v>
      </c>
      <c r="G212" s="4" t="s">
        <v>92</v>
      </c>
      <c r="H212" s="4" t="s">
        <v>180</v>
      </c>
      <c r="I212" s="4" t="s">
        <v>48</v>
      </c>
      <c r="J212" s="4" t="s">
        <v>35</v>
      </c>
      <c r="K212" s="4" t="s">
        <v>144</v>
      </c>
      <c r="L212" s="4" t="s">
        <v>37</v>
      </c>
      <c r="M212" s="4" t="s">
        <v>80</v>
      </c>
      <c r="N212" s="4" t="s">
        <v>150</v>
      </c>
      <c r="O212" s="4">
        <v>5</v>
      </c>
      <c r="P212" s="6">
        <v>2467</v>
      </c>
      <c r="Q212" s="7">
        <v>0.09</v>
      </c>
      <c r="R212" s="6">
        <v>11224.85</v>
      </c>
      <c r="S212" s="6">
        <v>6734.91</v>
      </c>
      <c r="T212" s="6">
        <v>4489.9399999999996</v>
      </c>
      <c r="U212" s="8">
        <v>0.4</v>
      </c>
      <c r="V212" s="4" t="s">
        <v>78</v>
      </c>
      <c r="W212" s="4" t="s">
        <v>87</v>
      </c>
      <c r="X212" s="4">
        <v>0</v>
      </c>
      <c r="Y212" s="4" t="s">
        <v>42</v>
      </c>
    </row>
    <row r="213" spans="1:25" x14ac:dyDescent="0.25">
      <c r="A213" s="4" t="s">
        <v>512</v>
      </c>
      <c r="B213" s="5" t="s">
        <v>490</v>
      </c>
      <c r="C213" s="4" t="s">
        <v>117</v>
      </c>
      <c r="D213" s="4" t="s">
        <v>56</v>
      </c>
      <c r="E213" s="4">
        <v>2025</v>
      </c>
      <c r="F213" s="4" t="s">
        <v>45</v>
      </c>
      <c r="G213" s="4" t="s">
        <v>72</v>
      </c>
      <c r="H213" s="4" t="s">
        <v>73</v>
      </c>
      <c r="I213" s="4" t="s">
        <v>48</v>
      </c>
      <c r="J213" s="4" t="s">
        <v>63</v>
      </c>
      <c r="K213" s="4" t="s">
        <v>144</v>
      </c>
      <c r="L213" s="4" t="s">
        <v>51</v>
      </c>
      <c r="M213" s="4" t="s">
        <v>52</v>
      </c>
      <c r="N213" s="4" t="s">
        <v>53</v>
      </c>
      <c r="O213" s="4">
        <v>3</v>
      </c>
      <c r="P213" s="6">
        <v>59118</v>
      </c>
      <c r="Q213" s="7">
        <v>0.1</v>
      </c>
      <c r="R213" s="6">
        <v>159618.6</v>
      </c>
      <c r="S213" s="6">
        <v>140464.37</v>
      </c>
      <c r="T213" s="6">
        <v>19154.23</v>
      </c>
      <c r="U213" s="8">
        <v>0.12</v>
      </c>
      <c r="V213" s="4" t="s">
        <v>54</v>
      </c>
      <c r="W213" s="4" t="s">
        <v>41</v>
      </c>
      <c r="X213" s="4">
        <v>6</v>
      </c>
      <c r="Y213" s="4" t="s">
        <v>88</v>
      </c>
    </row>
    <row r="214" spans="1:25" x14ac:dyDescent="0.25">
      <c r="A214" s="4" t="s">
        <v>513</v>
      </c>
      <c r="B214" s="5" t="s">
        <v>208</v>
      </c>
      <c r="C214" s="4" t="s">
        <v>209</v>
      </c>
      <c r="D214" s="4" t="s">
        <v>68</v>
      </c>
      <c r="E214" s="4">
        <v>2025</v>
      </c>
      <c r="F214" s="4" t="s">
        <v>99</v>
      </c>
      <c r="G214" s="4" t="s">
        <v>252</v>
      </c>
      <c r="H214" s="4" t="s">
        <v>253</v>
      </c>
      <c r="I214" s="4" t="s">
        <v>94</v>
      </c>
      <c r="J214" s="4" t="s">
        <v>35</v>
      </c>
      <c r="K214" s="4" t="s">
        <v>74</v>
      </c>
      <c r="L214" s="4" t="s">
        <v>75</v>
      </c>
      <c r="M214" s="4" t="s">
        <v>76</v>
      </c>
      <c r="N214" s="4" t="s">
        <v>77</v>
      </c>
      <c r="O214" s="4">
        <v>3</v>
      </c>
      <c r="P214" s="6">
        <v>10736</v>
      </c>
      <c r="Q214" s="7">
        <v>7.0000000000000007E-2</v>
      </c>
      <c r="R214" s="6">
        <v>29953.439999999999</v>
      </c>
      <c r="S214" s="6">
        <v>21266.94</v>
      </c>
      <c r="T214" s="6">
        <v>8686.5</v>
      </c>
      <c r="U214" s="8">
        <v>0.28999999999999998</v>
      </c>
      <c r="V214" s="4" t="s">
        <v>105</v>
      </c>
      <c r="W214" s="4" t="s">
        <v>41</v>
      </c>
      <c r="X214" s="4">
        <v>7</v>
      </c>
      <c r="Y214" s="4" t="s">
        <v>42</v>
      </c>
    </row>
    <row r="215" spans="1:25" x14ac:dyDescent="0.25">
      <c r="A215" s="4" t="s">
        <v>514</v>
      </c>
      <c r="B215" s="5" t="s">
        <v>445</v>
      </c>
      <c r="C215" s="4" t="s">
        <v>159</v>
      </c>
      <c r="D215" s="4" t="s">
        <v>56</v>
      </c>
      <c r="E215" s="4">
        <v>2025</v>
      </c>
      <c r="F215" s="4" t="s">
        <v>91</v>
      </c>
      <c r="G215" s="4" t="s">
        <v>148</v>
      </c>
      <c r="H215" s="4" t="s">
        <v>149</v>
      </c>
      <c r="I215" s="4" t="s">
        <v>94</v>
      </c>
      <c r="J215" s="4" t="s">
        <v>49</v>
      </c>
      <c r="K215" s="4" t="s">
        <v>74</v>
      </c>
      <c r="L215" s="4" t="s">
        <v>51</v>
      </c>
      <c r="M215" s="4" t="s">
        <v>128</v>
      </c>
      <c r="N215" s="4" t="s">
        <v>129</v>
      </c>
      <c r="O215" s="4">
        <v>6</v>
      </c>
      <c r="P215" s="6">
        <v>3202</v>
      </c>
      <c r="Q215" s="7">
        <v>0.12</v>
      </c>
      <c r="R215" s="6">
        <v>16906.560000000001</v>
      </c>
      <c r="S215" s="6">
        <v>11834.59</v>
      </c>
      <c r="T215" s="6">
        <v>5071.97</v>
      </c>
      <c r="U215" s="8">
        <v>0.3</v>
      </c>
      <c r="V215" s="4" t="s">
        <v>78</v>
      </c>
      <c r="W215" s="4" t="s">
        <v>87</v>
      </c>
      <c r="X215" s="4">
        <v>0</v>
      </c>
      <c r="Y215" s="4" t="s">
        <v>88</v>
      </c>
    </row>
    <row r="216" spans="1:25" x14ac:dyDescent="0.25">
      <c r="A216" s="4" t="s">
        <v>515</v>
      </c>
      <c r="B216" s="5" t="s">
        <v>385</v>
      </c>
      <c r="C216" s="4" t="s">
        <v>153</v>
      </c>
      <c r="D216" s="4" t="s">
        <v>68</v>
      </c>
      <c r="E216" s="4">
        <v>2025</v>
      </c>
      <c r="F216" s="4" t="s">
        <v>91</v>
      </c>
      <c r="G216" s="4" t="s">
        <v>92</v>
      </c>
      <c r="H216" s="4" t="s">
        <v>93</v>
      </c>
      <c r="I216" s="4" t="s">
        <v>48</v>
      </c>
      <c r="J216" s="4" t="s">
        <v>63</v>
      </c>
      <c r="K216" s="4" t="s">
        <v>156</v>
      </c>
      <c r="L216" s="4" t="s">
        <v>75</v>
      </c>
      <c r="M216" s="4" t="s">
        <v>121</v>
      </c>
      <c r="N216" s="4" t="s">
        <v>137</v>
      </c>
      <c r="O216" s="4">
        <v>1</v>
      </c>
      <c r="P216" s="6">
        <v>8705</v>
      </c>
      <c r="Q216" s="7">
        <v>0.01</v>
      </c>
      <c r="R216" s="6">
        <v>8617.9500000000007</v>
      </c>
      <c r="S216" s="6">
        <v>6377.28</v>
      </c>
      <c r="T216" s="6">
        <v>2240.67</v>
      </c>
      <c r="U216" s="8">
        <v>0.26</v>
      </c>
      <c r="V216" s="4" t="s">
        <v>54</v>
      </c>
      <c r="W216" s="4" t="s">
        <v>41</v>
      </c>
      <c r="X216" s="4">
        <v>3</v>
      </c>
      <c r="Y216" s="4" t="s">
        <v>88</v>
      </c>
    </row>
    <row r="217" spans="1:25" x14ac:dyDescent="0.25">
      <c r="A217" s="4" t="s">
        <v>516</v>
      </c>
      <c r="B217" s="5" t="s">
        <v>44</v>
      </c>
      <c r="C217" s="4" t="s">
        <v>29</v>
      </c>
      <c r="D217" s="4" t="s">
        <v>30</v>
      </c>
      <c r="E217" s="4">
        <v>2025</v>
      </c>
      <c r="F217" s="4" t="s">
        <v>45</v>
      </c>
      <c r="G217" s="4" t="s">
        <v>46</v>
      </c>
      <c r="H217" s="4" t="s">
        <v>47</v>
      </c>
      <c r="I217" s="4" t="s">
        <v>34</v>
      </c>
      <c r="J217" s="4" t="s">
        <v>35</v>
      </c>
      <c r="K217" s="4" t="s">
        <v>120</v>
      </c>
      <c r="L217" s="4" t="s">
        <v>75</v>
      </c>
      <c r="M217" s="4" t="s">
        <v>76</v>
      </c>
      <c r="N217" s="4" t="s">
        <v>140</v>
      </c>
      <c r="O217" s="4">
        <v>1</v>
      </c>
      <c r="P217" s="6">
        <v>22711</v>
      </c>
      <c r="Q217" s="7">
        <v>0.18</v>
      </c>
      <c r="R217" s="6">
        <v>18623.02</v>
      </c>
      <c r="S217" s="6">
        <v>14153.5</v>
      </c>
      <c r="T217" s="6">
        <v>4469.5200000000004</v>
      </c>
      <c r="U217" s="8">
        <v>0.24</v>
      </c>
      <c r="V217" s="4" t="s">
        <v>67</v>
      </c>
      <c r="W217" s="4" t="s">
        <v>87</v>
      </c>
      <c r="X217" s="4">
        <v>0</v>
      </c>
      <c r="Y217" s="4" t="s">
        <v>42</v>
      </c>
    </row>
    <row r="218" spans="1:25" x14ac:dyDescent="0.25">
      <c r="A218" s="4" t="s">
        <v>517</v>
      </c>
      <c r="B218" s="5" t="s">
        <v>126</v>
      </c>
      <c r="C218" s="4" t="s">
        <v>29</v>
      </c>
      <c r="D218" s="4" t="s">
        <v>30</v>
      </c>
      <c r="E218" s="4">
        <v>2025</v>
      </c>
      <c r="F218" s="4" t="s">
        <v>45</v>
      </c>
      <c r="G218" s="4" t="s">
        <v>167</v>
      </c>
      <c r="H218" s="4" t="s">
        <v>324</v>
      </c>
      <c r="I218" s="4" t="s">
        <v>48</v>
      </c>
      <c r="J218" s="4" t="s">
        <v>63</v>
      </c>
      <c r="K218" s="4" t="s">
        <v>132</v>
      </c>
      <c r="L218" s="4" t="s">
        <v>37</v>
      </c>
      <c r="M218" s="4" t="s">
        <v>38</v>
      </c>
      <c r="N218" s="4" t="s">
        <v>185</v>
      </c>
      <c r="O218" s="4">
        <v>3</v>
      </c>
      <c r="P218" s="6">
        <v>4688</v>
      </c>
      <c r="Q218" s="7">
        <v>0.04</v>
      </c>
      <c r="R218" s="6">
        <v>13501.44</v>
      </c>
      <c r="S218" s="6">
        <v>8505.91</v>
      </c>
      <c r="T218" s="6">
        <v>4995.53</v>
      </c>
      <c r="U218" s="8">
        <v>0.37</v>
      </c>
      <c r="V218" s="4" t="s">
        <v>40</v>
      </c>
      <c r="W218" s="4" t="s">
        <v>87</v>
      </c>
      <c r="X218" s="4">
        <v>0</v>
      </c>
      <c r="Y218" s="4" t="s">
        <v>88</v>
      </c>
    </row>
    <row r="219" spans="1:25" x14ac:dyDescent="0.25">
      <c r="A219" s="4" t="s">
        <v>518</v>
      </c>
      <c r="B219" s="5" t="s">
        <v>385</v>
      </c>
      <c r="C219" s="4" t="s">
        <v>153</v>
      </c>
      <c r="D219" s="4" t="s">
        <v>68</v>
      </c>
      <c r="E219" s="4">
        <v>2025</v>
      </c>
      <c r="F219" s="4" t="s">
        <v>91</v>
      </c>
      <c r="G219" s="4" t="s">
        <v>148</v>
      </c>
      <c r="H219" s="4" t="s">
        <v>149</v>
      </c>
      <c r="I219" s="4" t="s">
        <v>48</v>
      </c>
      <c r="J219" s="4" t="s">
        <v>35</v>
      </c>
      <c r="K219" s="4" t="s">
        <v>64</v>
      </c>
      <c r="L219" s="4" t="s">
        <v>102</v>
      </c>
      <c r="M219" s="4" t="s">
        <v>113</v>
      </c>
      <c r="N219" s="4" t="s">
        <v>114</v>
      </c>
      <c r="O219" s="4">
        <v>23</v>
      </c>
      <c r="P219" s="6">
        <v>189</v>
      </c>
      <c r="Q219" s="7">
        <v>0.01</v>
      </c>
      <c r="R219" s="6">
        <v>4303.53</v>
      </c>
      <c r="S219" s="6">
        <v>2840.33</v>
      </c>
      <c r="T219" s="6">
        <v>1463.2</v>
      </c>
      <c r="U219" s="8">
        <v>0.34</v>
      </c>
      <c r="V219" s="4" t="s">
        <v>78</v>
      </c>
      <c r="W219" s="4" t="s">
        <v>41</v>
      </c>
      <c r="X219" s="4">
        <v>3</v>
      </c>
      <c r="Y219" s="4" t="s">
        <v>42</v>
      </c>
    </row>
    <row r="220" spans="1:25" x14ac:dyDescent="0.25">
      <c r="A220" s="4" t="s">
        <v>519</v>
      </c>
      <c r="B220" s="5" t="s">
        <v>520</v>
      </c>
      <c r="C220" s="4" t="s">
        <v>209</v>
      </c>
      <c r="D220" s="4" t="s">
        <v>68</v>
      </c>
      <c r="E220" s="4">
        <v>2025</v>
      </c>
      <c r="F220" s="4" t="s">
        <v>31</v>
      </c>
      <c r="G220" s="4" t="s">
        <v>32</v>
      </c>
      <c r="H220" s="4" t="s">
        <v>33</v>
      </c>
      <c r="I220" s="4" t="s">
        <v>94</v>
      </c>
      <c r="J220" s="4" t="s">
        <v>49</v>
      </c>
      <c r="K220" s="4" t="s">
        <v>132</v>
      </c>
      <c r="L220" s="4" t="s">
        <v>75</v>
      </c>
      <c r="M220" s="4" t="s">
        <v>76</v>
      </c>
      <c r="N220" s="4" t="s">
        <v>140</v>
      </c>
      <c r="O220" s="4">
        <v>2</v>
      </c>
      <c r="P220" s="6">
        <v>16258</v>
      </c>
      <c r="Q220" s="7">
        <v>0.09</v>
      </c>
      <c r="R220" s="6">
        <v>29589.56</v>
      </c>
      <c r="S220" s="6">
        <v>22488.07</v>
      </c>
      <c r="T220" s="6">
        <v>7101.49</v>
      </c>
      <c r="U220" s="8">
        <v>0.24</v>
      </c>
      <c r="V220" s="4" t="s">
        <v>67</v>
      </c>
      <c r="W220" s="4" t="s">
        <v>41</v>
      </c>
      <c r="X220" s="4">
        <v>3</v>
      </c>
      <c r="Y220" s="4" t="s">
        <v>106</v>
      </c>
    </row>
    <row r="221" spans="1:25" x14ac:dyDescent="0.25">
      <c r="A221" s="4" t="s">
        <v>521</v>
      </c>
      <c r="B221" s="5" t="s">
        <v>389</v>
      </c>
      <c r="C221" s="4" t="s">
        <v>209</v>
      </c>
      <c r="D221" s="4" t="s">
        <v>68</v>
      </c>
      <c r="E221" s="4">
        <v>2025</v>
      </c>
      <c r="F221" s="4" t="s">
        <v>91</v>
      </c>
      <c r="G221" s="4" t="s">
        <v>148</v>
      </c>
      <c r="H221" s="4" t="s">
        <v>149</v>
      </c>
      <c r="I221" s="4" t="s">
        <v>34</v>
      </c>
      <c r="J221" s="4" t="s">
        <v>35</v>
      </c>
      <c r="K221" s="4" t="s">
        <v>36</v>
      </c>
      <c r="L221" s="4" t="s">
        <v>75</v>
      </c>
      <c r="M221" s="4" t="s">
        <v>76</v>
      </c>
      <c r="N221" s="4" t="s">
        <v>77</v>
      </c>
      <c r="O221" s="4">
        <v>1</v>
      </c>
      <c r="P221" s="6">
        <v>8175</v>
      </c>
      <c r="Q221" s="7">
        <v>0.09</v>
      </c>
      <c r="R221" s="6">
        <v>7439.25</v>
      </c>
      <c r="S221" s="6">
        <v>5281.87</v>
      </c>
      <c r="T221" s="6">
        <v>2157.38</v>
      </c>
      <c r="U221" s="8">
        <v>0.28999999999999998</v>
      </c>
      <c r="V221" s="4" t="s">
        <v>67</v>
      </c>
      <c r="W221" s="4" t="s">
        <v>41</v>
      </c>
      <c r="X221" s="4">
        <v>6</v>
      </c>
      <c r="Y221" s="4" t="s">
        <v>42</v>
      </c>
    </row>
    <row r="222" spans="1:25" x14ac:dyDescent="0.25">
      <c r="A222" s="4" t="s">
        <v>522</v>
      </c>
      <c r="B222" s="5" t="s">
        <v>523</v>
      </c>
      <c r="C222" s="4" t="s">
        <v>29</v>
      </c>
      <c r="D222" s="4" t="s">
        <v>30</v>
      </c>
      <c r="E222" s="4">
        <v>2025</v>
      </c>
      <c r="F222" s="4" t="s">
        <v>91</v>
      </c>
      <c r="G222" s="4" t="s">
        <v>92</v>
      </c>
      <c r="H222" s="4" t="s">
        <v>93</v>
      </c>
      <c r="I222" s="4" t="s">
        <v>94</v>
      </c>
      <c r="J222" s="4" t="s">
        <v>35</v>
      </c>
      <c r="K222" s="4" t="s">
        <v>95</v>
      </c>
      <c r="L222" s="4" t="s">
        <v>37</v>
      </c>
      <c r="M222" s="4" t="s">
        <v>38</v>
      </c>
      <c r="N222" s="4" t="s">
        <v>39</v>
      </c>
      <c r="O222" s="4">
        <v>10</v>
      </c>
      <c r="P222" s="6">
        <v>4330</v>
      </c>
      <c r="Q222" s="7">
        <v>0.06</v>
      </c>
      <c r="R222" s="6">
        <v>40702</v>
      </c>
      <c r="S222" s="6">
        <v>23200.14</v>
      </c>
      <c r="T222" s="6">
        <v>17501.86</v>
      </c>
      <c r="U222" s="8">
        <v>0.43</v>
      </c>
      <c r="V222" s="4" t="s">
        <v>54</v>
      </c>
      <c r="W222" s="4" t="s">
        <v>41</v>
      </c>
      <c r="X222" s="4">
        <v>4</v>
      </c>
      <c r="Y222" s="4" t="s">
        <v>42</v>
      </c>
    </row>
    <row r="223" spans="1:25" x14ac:dyDescent="0.25">
      <c r="A223" s="4" t="s">
        <v>524</v>
      </c>
      <c r="B223" s="5" t="s">
        <v>399</v>
      </c>
      <c r="C223" s="4" t="s">
        <v>117</v>
      </c>
      <c r="D223" s="4" t="s">
        <v>56</v>
      </c>
      <c r="E223" s="4">
        <v>2025</v>
      </c>
      <c r="F223" s="4" t="s">
        <v>91</v>
      </c>
      <c r="G223" s="4" t="s">
        <v>92</v>
      </c>
      <c r="H223" s="4" t="s">
        <v>180</v>
      </c>
      <c r="I223" s="4" t="s">
        <v>94</v>
      </c>
      <c r="J223" s="4" t="s">
        <v>49</v>
      </c>
      <c r="K223" s="4" t="s">
        <v>144</v>
      </c>
      <c r="L223" s="4" t="s">
        <v>51</v>
      </c>
      <c r="M223" s="4" t="s">
        <v>52</v>
      </c>
      <c r="N223" s="4" t="s">
        <v>53</v>
      </c>
      <c r="O223" s="4">
        <v>5</v>
      </c>
      <c r="P223" s="6">
        <v>60419</v>
      </c>
      <c r="Q223" s="7">
        <v>0.11</v>
      </c>
      <c r="R223" s="6">
        <v>268864.55</v>
      </c>
      <c r="S223" s="6">
        <v>236600.8</v>
      </c>
      <c r="T223" s="6">
        <v>32263.75</v>
      </c>
      <c r="U223" s="8">
        <v>0.12</v>
      </c>
      <c r="V223" s="4" t="s">
        <v>105</v>
      </c>
      <c r="W223" s="4" t="s">
        <v>55</v>
      </c>
      <c r="X223" s="4">
        <v>1</v>
      </c>
      <c r="Y223" s="4" t="s">
        <v>106</v>
      </c>
    </row>
    <row r="224" spans="1:25" x14ac:dyDescent="0.25">
      <c r="A224" s="4" t="s">
        <v>525</v>
      </c>
      <c r="B224" s="5" t="s">
        <v>408</v>
      </c>
      <c r="C224" s="4" t="s">
        <v>109</v>
      </c>
      <c r="D224" s="4" t="s">
        <v>60</v>
      </c>
      <c r="E224" s="4">
        <v>2025</v>
      </c>
      <c r="F224" s="4" t="s">
        <v>31</v>
      </c>
      <c r="G224" s="4" t="s">
        <v>32</v>
      </c>
      <c r="H224" s="4" t="s">
        <v>33</v>
      </c>
      <c r="I224" s="4" t="s">
        <v>94</v>
      </c>
      <c r="J224" s="4" t="s">
        <v>35</v>
      </c>
      <c r="K224" s="4" t="s">
        <v>120</v>
      </c>
      <c r="L224" s="4" t="s">
        <v>37</v>
      </c>
      <c r="M224" s="4" t="s">
        <v>38</v>
      </c>
      <c r="N224" s="4" t="s">
        <v>185</v>
      </c>
      <c r="O224" s="4">
        <v>9</v>
      </c>
      <c r="P224" s="6">
        <v>7327</v>
      </c>
      <c r="Q224" s="7">
        <v>0.15</v>
      </c>
      <c r="R224" s="6">
        <v>56051.55</v>
      </c>
      <c r="S224" s="6">
        <v>35312.480000000003</v>
      </c>
      <c r="T224" s="6">
        <v>20739.07</v>
      </c>
      <c r="U224" s="8">
        <v>0.37</v>
      </c>
      <c r="V224" s="4" t="s">
        <v>40</v>
      </c>
      <c r="W224" s="4" t="s">
        <v>41</v>
      </c>
      <c r="X224" s="4">
        <v>3</v>
      </c>
      <c r="Y224" s="4" t="s">
        <v>42</v>
      </c>
    </row>
    <row r="225" spans="1:25" x14ac:dyDescent="0.25">
      <c r="A225" s="4" t="s">
        <v>526</v>
      </c>
      <c r="B225" s="5" t="s">
        <v>218</v>
      </c>
      <c r="C225" s="4" t="s">
        <v>159</v>
      </c>
      <c r="D225" s="4" t="s">
        <v>56</v>
      </c>
      <c r="E225" s="4">
        <v>2025</v>
      </c>
      <c r="F225" s="4" t="s">
        <v>99</v>
      </c>
      <c r="G225" s="4" t="s">
        <v>100</v>
      </c>
      <c r="H225" s="4" t="s">
        <v>101</v>
      </c>
      <c r="I225" s="4" t="s">
        <v>94</v>
      </c>
      <c r="J225" s="4" t="s">
        <v>35</v>
      </c>
      <c r="K225" s="4" t="s">
        <v>86</v>
      </c>
      <c r="L225" s="4" t="s">
        <v>37</v>
      </c>
      <c r="M225" s="4" t="s">
        <v>38</v>
      </c>
      <c r="N225" s="4" t="s">
        <v>185</v>
      </c>
      <c r="O225" s="4">
        <v>4</v>
      </c>
      <c r="P225" s="6">
        <v>5871</v>
      </c>
      <c r="Q225" s="7">
        <v>0.08</v>
      </c>
      <c r="R225" s="6">
        <v>21605.279999999999</v>
      </c>
      <c r="S225" s="6">
        <v>13611.33</v>
      </c>
      <c r="T225" s="6">
        <v>7993.95</v>
      </c>
      <c r="U225" s="8">
        <v>0.37</v>
      </c>
      <c r="V225" s="4" t="s">
        <v>40</v>
      </c>
      <c r="W225" s="4" t="s">
        <v>55</v>
      </c>
      <c r="X225" s="4">
        <v>1</v>
      </c>
      <c r="Y225" s="4" t="s">
        <v>42</v>
      </c>
    </row>
    <row r="226" spans="1:25" x14ac:dyDescent="0.25">
      <c r="A226" s="4" t="s">
        <v>527</v>
      </c>
      <c r="B226" s="5" t="s">
        <v>528</v>
      </c>
      <c r="C226" s="4" t="s">
        <v>159</v>
      </c>
      <c r="D226" s="4" t="s">
        <v>56</v>
      </c>
      <c r="E226" s="4">
        <v>2025</v>
      </c>
      <c r="F226" s="4" t="s">
        <v>45</v>
      </c>
      <c r="G226" s="4" t="s">
        <v>46</v>
      </c>
      <c r="H226" s="4" t="s">
        <v>47</v>
      </c>
      <c r="I226" s="4" t="s">
        <v>48</v>
      </c>
      <c r="J226" s="4" t="s">
        <v>63</v>
      </c>
      <c r="K226" s="4" t="s">
        <v>132</v>
      </c>
      <c r="L226" s="4" t="s">
        <v>37</v>
      </c>
      <c r="M226" s="4" t="s">
        <v>80</v>
      </c>
      <c r="N226" s="4" t="s">
        <v>150</v>
      </c>
      <c r="O226" s="4">
        <v>4</v>
      </c>
      <c r="P226" s="6">
        <v>1570</v>
      </c>
      <c r="Q226" s="7">
        <v>0.09</v>
      </c>
      <c r="R226" s="6">
        <v>5714.8</v>
      </c>
      <c r="S226" s="6">
        <v>3428.88</v>
      </c>
      <c r="T226" s="6">
        <v>2285.92</v>
      </c>
      <c r="U226" s="8">
        <v>0.4</v>
      </c>
      <c r="V226" s="4" t="s">
        <v>40</v>
      </c>
      <c r="W226" s="4" t="s">
        <v>55</v>
      </c>
      <c r="X226" s="4">
        <v>1</v>
      </c>
      <c r="Y226" s="4" t="s">
        <v>42</v>
      </c>
    </row>
    <row r="227" spans="1:25" x14ac:dyDescent="0.25">
      <c r="A227" s="4" t="s">
        <v>529</v>
      </c>
      <c r="B227" s="5" t="s">
        <v>375</v>
      </c>
      <c r="C227" s="4" t="s">
        <v>29</v>
      </c>
      <c r="D227" s="4" t="s">
        <v>30</v>
      </c>
      <c r="E227" s="4">
        <v>2025</v>
      </c>
      <c r="F227" s="4" t="s">
        <v>99</v>
      </c>
      <c r="G227" s="4" t="s">
        <v>214</v>
      </c>
      <c r="H227" s="4" t="s">
        <v>325</v>
      </c>
      <c r="I227" s="4" t="s">
        <v>94</v>
      </c>
      <c r="J227" s="4" t="s">
        <v>49</v>
      </c>
      <c r="K227" s="4" t="s">
        <v>50</v>
      </c>
      <c r="L227" s="4" t="s">
        <v>102</v>
      </c>
      <c r="M227" s="4" t="s">
        <v>113</v>
      </c>
      <c r="N227" s="4" t="s">
        <v>114</v>
      </c>
      <c r="O227" s="4">
        <v>26</v>
      </c>
      <c r="P227" s="6">
        <v>406</v>
      </c>
      <c r="Q227" s="7">
        <v>0.09</v>
      </c>
      <c r="R227" s="6">
        <v>9605.9599999999991</v>
      </c>
      <c r="S227" s="6">
        <v>6339.93</v>
      </c>
      <c r="T227" s="6">
        <v>3266.03</v>
      </c>
      <c r="U227" s="8">
        <v>0.34</v>
      </c>
      <c r="V227" s="4" t="s">
        <v>105</v>
      </c>
      <c r="W227" s="4" t="s">
        <v>55</v>
      </c>
      <c r="X227" s="4">
        <v>2</v>
      </c>
      <c r="Y227" s="4" t="s">
        <v>106</v>
      </c>
    </row>
    <row r="228" spans="1:25" x14ac:dyDescent="0.25">
      <c r="A228" s="4" t="s">
        <v>530</v>
      </c>
      <c r="B228" s="5" t="s">
        <v>531</v>
      </c>
      <c r="C228" s="4" t="s">
        <v>117</v>
      </c>
      <c r="D228" s="4" t="s">
        <v>56</v>
      </c>
      <c r="E228" s="4">
        <v>2025</v>
      </c>
      <c r="F228" s="4" t="s">
        <v>45</v>
      </c>
      <c r="G228" s="4" t="s">
        <v>46</v>
      </c>
      <c r="H228" s="4" t="s">
        <v>47</v>
      </c>
      <c r="I228" s="4" t="s">
        <v>94</v>
      </c>
      <c r="J228" s="4" t="s">
        <v>63</v>
      </c>
      <c r="K228" s="4" t="s">
        <v>95</v>
      </c>
      <c r="L228" s="4" t="s">
        <v>51</v>
      </c>
      <c r="M228" s="4" t="s">
        <v>52</v>
      </c>
      <c r="N228" s="4" t="s">
        <v>53</v>
      </c>
      <c r="O228" s="4">
        <v>6</v>
      </c>
      <c r="P228" s="6">
        <v>66788</v>
      </c>
      <c r="Q228" s="7">
        <v>0.11</v>
      </c>
      <c r="R228" s="6">
        <v>356647.92</v>
      </c>
      <c r="S228" s="6">
        <v>313850.17</v>
      </c>
      <c r="T228" s="6">
        <v>42797.75</v>
      </c>
      <c r="U228" s="8">
        <v>0.12</v>
      </c>
      <c r="V228" s="4" t="s">
        <v>78</v>
      </c>
      <c r="W228" s="4" t="s">
        <v>41</v>
      </c>
      <c r="X228" s="4">
        <v>6</v>
      </c>
      <c r="Y228" s="4" t="s">
        <v>42</v>
      </c>
    </row>
    <row r="229" spans="1:25" x14ac:dyDescent="0.25">
      <c r="A229" s="4" t="s">
        <v>532</v>
      </c>
      <c r="B229" s="5" t="s">
        <v>533</v>
      </c>
      <c r="C229" s="4" t="s">
        <v>192</v>
      </c>
      <c r="D229" s="4" t="s">
        <v>30</v>
      </c>
      <c r="E229" s="4">
        <v>2025</v>
      </c>
      <c r="F229" s="4" t="s">
        <v>91</v>
      </c>
      <c r="G229" s="4" t="s">
        <v>183</v>
      </c>
      <c r="H229" s="4" t="s">
        <v>206</v>
      </c>
      <c r="I229" s="4" t="s">
        <v>34</v>
      </c>
      <c r="J229" s="4" t="s">
        <v>35</v>
      </c>
      <c r="K229" s="4" t="s">
        <v>74</v>
      </c>
      <c r="L229" s="4" t="s">
        <v>75</v>
      </c>
      <c r="M229" s="4" t="s">
        <v>121</v>
      </c>
      <c r="N229" s="4" t="s">
        <v>122</v>
      </c>
      <c r="O229" s="4">
        <v>1</v>
      </c>
      <c r="P229" s="6">
        <v>5862</v>
      </c>
      <c r="Q229" s="7">
        <v>0.09</v>
      </c>
      <c r="R229" s="6">
        <v>5334.42</v>
      </c>
      <c r="S229" s="6">
        <v>3840.78</v>
      </c>
      <c r="T229" s="6">
        <v>1493.64</v>
      </c>
      <c r="U229" s="8">
        <v>0.28000000000000003</v>
      </c>
      <c r="V229" s="4" t="s">
        <v>67</v>
      </c>
      <c r="W229" s="4" t="s">
        <v>55</v>
      </c>
      <c r="X229" s="4">
        <v>1</v>
      </c>
      <c r="Y229" s="4" t="s">
        <v>88</v>
      </c>
    </row>
    <row r="230" spans="1:25" x14ac:dyDescent="0.25">
      <c r="A230" s="4" t="s">
        <v>534</v>
      </c>
      <c r="B230" s="5" t="s">
        <v>419</v>
      </c>
      <c r="C230" s="4" t="s">
        <v>59</v>
      </c>
      <c r="D230" s="4" t="s">
        <v>60</v>
      </c>
      <c r="E230" s="4">
        <v>2025</v>
      </c>
      <c r="F230" s="4" t="s">
        <v>31</v>
      </c>
      <c r="G230" s="4" t="s">
        <v>61</v>
      </c>
      <c r="H230" s="4" t="s">
        <v>62</v>
      </c>
      <c r="I230" s="4" t="s">
        <v>34</v>
      </c>
      <c r="J230" s="4" t="s">
        <v>49</v>
      </c>
      <c r="K230" s="4" t="s">
        <v>36</v>
      </c>
      <c r="L230" s="4" t="s">
        <v>37</v>
      </c>
      <c r="M230" s="4" t="s">
        <v>80</v>
      </c>
      <c r="N230" s="4" t="s">
        <v>81</v>
      </c>
      <c r="O230" s="4">
        <v>2</v>
      </c>
      <c r="P230" s="6">
        <v>1975</v>
      </c>
      <c r="Q230" s="7">
        <v>0.18</v>
      </c>
      <c r="R230" s="6">
        <v>3239</v>
      </c>
      <c r="S230" s="6">
        <v>1878.62</v>
      </c>
      <c r="T230" s="6">
        <v>1360.38</v>
      </c>
      <c r="U230" s="8">
        <v>0.42</v>
      </c>
      <c r="V230" s="4" t="s">
        <v>40</v>
      </c>
      <c r="W230" s="4" t="s">
        <v>55</v>
      </c>
      <c r="X230" s="4">
        <v>1</v>
      </c>
      <c r="Y230" s="4" t="s">
        <v>123</v>
      </c>
    </row>
    <row r="231" spans="1:25" x14ac:dyDescent="0.25">
      <c r="A231" s="4" t="s">
        <v>535</v>
      </c>
      <c r="B231" s="5" t="s">
        <v>251</v>
      </c>
      <c r="C231" s="4" t="s">
        <v>85</v>
      </c>
      <c r="D231" s="4" t="s">
        <v>30</v>
      </c>
      <c r="E231" s="4">
        <v>2025</v>
      </c>
      <c r="F231" s="4" t="s">
        <v>91</v>
      </c>
      <c r="G231" s="4" t="s">
        <v>148</v>
      </c>
      <c r="H231" s="4" t="s">
        <v>149</v>
      </c>
      <c r="I231" s="4" t="s">
        <v>48</v>
      </c>
      <c r="J231" s="4" t="s">
        <v>49</v>
      </c>
      <c r="K231" s="4" t="s">
        <v>156</v>
      </c>
      <c r="L231" s="4" t="s">
        <v>37</v>
      </c>
      <c r="M231" s="4" t="s">
        <v>80</v>
      </c>
      <c r="N231" s="4" t="s">
        <v>81</v>
      </c>
      <c r="O231" s="4">
        <v>4</v>
      </c>
      <c r="P231" s="6">
        <v>1794</v>
      </c>
      <c r="Q231" s="7">
        <v>0.06</v>
      </c>
      <c r="R231" s="6">
        <v>6745.44</v>
      </c>
      <c r="S231" s="6">
        <v>3912.36</v>
      </c>
      <c r="T231" s="6">
        <v>2833.08</v>
      </c>
      <c r="U231" s="8">
        <v>0.42</v>
      </c>
      <c r="V231" s="4" t="s">
        <v>67</v>
      </c>
      <c r="W231" s="4" t="s">
        <v>87</v>
      </c>
      <c r="X231" s="4">
        <v>0</v>
      </c>
      <c r="Y231" s="4" t="s">
        <v>106</v>
      </c>
    </row>
    <row r="232" spans="1:25" x14ac:dyDescent="0.25">
      <c r="A232" s="4" t="s">
        <v>536</v>
      </c>
      <c r="B232" s="5" t="s">
        <v>383</v>
      </c>
      <c r="C232" s="4" t="s">
        <v>153</v>
      </c>
      <c r="D232" s="4" t="s">
        <v>68</v>
      </c>
      <c r="E232" s="4">
        <v>2025</v>
      </c>
      <c r="F232" s="4" t="s">
        <v>91</v>
      </c>
      <c r="G232" s="4" t="s">
        <v>148</v>
      </c>
      <c r="H232" s="4" t="s">
        <v>149</v>
      </c>
      <c r="I232" s="4" t="s">
        <v>48</v>
      </c>
      <c r="J232" s="4" t="s">
        <v>49</v>
      </c>
      <c r="K232" s="4" t="s">
        <v>132</v>
      </c>
      <c r="L232" s="4" t="s">
        <v>37</v>
      </c>
      <c r="M232" s="4" t="s">
        <v>80</v>
      </c>
      <c r="N232" s="4" t="s">
        <v>150</v>
      </c>
      <c r="O232" s="4">
        <v>4</v>
      </c>
      <c r="P232" s="6">
        <v>2854</v>
      </c>
      <c r="Q232" s="7">
        <v>0.03</v>
      </c>
      <c r="R232" s="6">
        <v>11073.52</v>
      </c>
      <c r="S232" s="6">
        <v>6644.11</v>
      </c>
      <c r="T232" s="6">
        <v>4429.41</v>
      </c>
      <c r="U232" s="8">
        <v>0.4</v>
      </c>
      <c r="V232" s="4" t="s">
        <v>54</v>
      </c>
      <c r="W232" s="4" t="s">
        <v>55</v>
      </c>
      <c r="X232" s="4">
        <v>2</v>
      </c>
      <c r="Y232" s="4" t="s">
        <v>42</v>
      </c>
    </row>
    <row r="233" spans="1:25" x14ac:dyDescent="0.25">
      <c r="A233" s="4" t="s">
        <v>537</v>
      </c>
      <c r="B233" s="5" t="s">
        <v>538</v>
      </c>
      <c r="C233" s="4" t="s">
        <v>71</v>
      </c>
      <c r="D233" s="4" t="s">
        <v>68</v>
      </c>
      <c r="E233" s="4">
        <v>2025</v>
      </c>
      <c r="F233" s="4" t="s">
        <v>91</v>
      </c>
      <c r="G233" s="4" t="s">
        <v>148</v>
      </c>
      <c r="H233" s="4" t="s">
        <v>149</v>
      </c>
      <c r="I233" s="4" t="s">
        <v>34</v>
      </c>
      <c r="J233" s="4" t="s">
        <v>49</v>
      </c>
      <c r="K233" s="4" t="s">
        <v>156</v>
      </c>
      <c r="L233" s="4" t="s">
        <v>37</v>
      </c>
      <c r="M233" s="4" t="s">
        <v>80</v>
      </c>
      <c r="N233" s="4" t="s">
        <v>81</v>
      </c>
      <c r="O233" s="4">
        <v>9</v>
      </c>
      <c r="P233" s="6">
        <v>1378</v>
      </c>
      <c r="Q233" s="7">
        <v>0.14000000000000001</v>
      </c>
      <c r="R233" s="6">
        <v>10665.72</v>
      </c>
      <c r="S233" s="6">
        <v>6186.12</v>
      </c>
      <c r="T233" s="6">
        <v>4479.6000000000004</v>
      </c>
      <c r="U233" s="8">
        <v>0.42</v>
      </c>
      <c r="V233" s="4" t="s">
        <v>78</v>
      </c>
      <c r="W233" s="4" t="s">
        <v>87</v>
      </c>
      <c r="X233" s="4">
        <v>0</v>
      </c>
      <c r="Y233" s="4" t="s">
        <v>42</v>
      </c>
    </row>
    <row r="234" spans="1:25" x14ac:dyDescent="0.25">
      <c r="A234" s="4" t="s">
        <v>539</v>
      </c>
      <c r="B234" s="5" t="s">
        <v>303</v>
      </c>
      <c r="C234" s="4" t="s">
        <v>71</v>
      </c>
      <c r="D234" s="4" t="s">
        <v>68</v>
      </c>
      <c r="E234" s="4">
        <v>2025</v>
      </c>
      <c r="F234" s="4" t="s">
        <v>91</v>
      </c>
      <c r="G234" s="4" t="s">
        <v>148</v>
      </c>
      <c r="H234" s="4" t="s">
        <v>149</v>
      </c>
      <c r="I234" s="4" t="s">
        <v>94</v>
      </c>
      <c r="J234" s="4" t="s">
        <v>63</v>
      </c>
      <c r="K234" s="4" t="s">
        <v>95</v>
      </c>
      <c r="L234" s="4" t="s">
        <v>75</v>
      </c>
      <c r="M234" s="4" t="s">
        <v>121</v>
      </c>
      <c r="N234" s="4" t="s">
        <v>122</v>
      </c>
      <c r="O234" s="4">
        <v>3</v>
      </c>
      <c r="P234" s="6">
        <v>8369</v>
      </c>
      <c r="Q234" s="7">
        <v>0.14000000000000001</v>
      </c>
      <c r="R234" s="6">
        <v>21592.02</v>
      </c>
      <c r="S234" s="6">
        <v>15546.25</v>
      </c>
      <c r="T234" s="6">
        <v>6045.77</v>
      </c>
      <c r="U234" s="8">
        <v>0.28000000000000003</v>
      </c>
      <c r="V234" s="4" t="s">
        <v>40</v>
      </c>
      <c r="W234" s="4" t="s">
        <v>41</v>
      </c>
      <c r="X234" s="4">
        <v>6</v>
      </c>
      <c r="Y234" s="4" t="s">
        <v>123</v>
      </c>
    </row>
    <row r="235" spans="1:25" x14ac:dyDescent="0.25">
      <c r="A235" s="4" t="s">
        <v>540</v>
      </c>
      <c r="B235" s="5" t="s">
        <v>495</v>
      </c>
      <c r="C235" s="4" t="s">
        <v>109</v>
      </c>
      <c r="D235" s="4" t="s">
        <v>60</v>
      </c>
      <c r="E235" s="4">
        <v>2025</v>
      </c>
      <c r="F235" s="4" t="s">
        <v>31</v>
      </c>
      <c r="G235" s="4" t="s">
        <v>32</v>
      </c>
      <c r="H235" s="4" t="s">
        <v>33</v>
      </c>
      <c r="I235" s="4" t="s">
        <v>48</v>
      </c>
      <c r="J235" s="4" t="s">
        <v>49</v>
      </c>
      <c r="K235" s="4" t="s">
        <v>120</v>
      </c>
      <c r="L235" s="4" t="s">
        <v>51</v>
      </c>
      <c r="M235" s="4" t="s">
        <v>65</v>
      </c>
      <c r="N235" s="4" t="s">
        <v>66</v>
      </c>
      <c r="O235" s="4">
        <v>1</v>
      </c>
      <c r="P235" s="6">
        <v>60890</v>
      </c>
      <c r="Q235" s="7">
        <v>0.08</v>
      </c>
      <c r="R235" s="6">
        <v>56018.8</v>
      </c>
      <c r="S235" s="6">
        <v>47615.98</v>
      </c>
      <c r="T235" s="6">
        <v>8402.82</v>
      </c>
      <c r="U235" s="8">
        <v>0.15</v>
      </c>
      <c r="V235" s="4" t="s">
        <v>105</v>
      </c>
      <c r="W235" s="4" t="s">
        <v>87</v>
      </c>
      <c r="X235" s="4">
        <v>0</v>
      </c>
      <c r="Y235" s="4" t="s">
        <v>123</v>
      </c>
    </row>
    <row r="236" spans="1:25" x14ac:dyDescent="0.25">
      <c r="A236" s="4" t="s">
        <v>541</v>
      </c>
      <c r="B236" s="5" t="s">
        <v>542</v>
      </c>
      <c r="C236" s="4" t="s">
        <v>117</v>
      </c>
      <c r="D236" s="4" t="s">
        <v>56</v>
      </c>
      <c r="E236" s="4">
        <v>2025</v>
      </c>
      <c r="F236" s="4" t="s">
        <v>31</v>
      </c>
      <c r="G236" s="4" t="s">
        <v>32</v>
      </c>
      <c r="H236" s="4" t="s">
        <v>33</v>
      </c>
      <c r="I236" s="4" t="s">
        <v>34</v>
      </c>
      <c r="J236" s="4" t="s">
        <v>35</v>
      </c>
      <c r="K236" s="4" t="s">
        <v>95</v>
      </c>
      <c r="L236" s="4" t="s">
        <v>51</v>
      </c>
      <c r="M236" s="4" t="s">
        <v>65</v>
      </c>
      <c r="N236" s="4" t="s">
        <v>66</v>
      </c>
      <c r="O236" s="4">
        <v>6</v>
      </c>
      <c r="P236" s="6">
        <v>57890</v>
      </c>
      <c r="Q236" s="7">
        <v>0.14000000000000001</v>
      </c>
      <c r="R236" s="6">
        <v>298712.40000000002</v>
      </c>
      <c r="S236" s="6">
        <v>253905.54</v>
      </c>
      <c r="T236" s="6">
        <v>44806.86</v>
      </c>
      <c r="U236" s="8">
        <v>0.15</v>
      </c>
      <c r="V236" s="4" t="s">
        <v>105</v>
      </c>
      <c r="W236" s="4" t="s">
        <v>41</v>
      </c>
      <c r="X236" s="4">
        <v>3</v>
      </c>
      <c r="Y236" s="4" t="s">
        <v>42</v>
      </c>
    </row>
    <row r="237" spans="1:25" x14ac:dyDescent="0.25">
      <c r="A237" s="4" t="s">
        <v>543</v>
      </c>
      <c r="B237" s="5" t="s">
        <v>158</v>
      </c>
      <c r="C237" s="4" t="s">
        <v>159</v>
      </c>
      <c r="D237" s="4" t="s">
        <v>56</v>
      </c>
      <c r="E237" s="4">
        <v>2025</v>
      </c>
      <c r="F237" s="4" t="s">
        <v>99</v>
      </c>
      <c r="G237" s="4" t="s">
        <v>118</v>
      </c>
      <c r="H237" s="4" t="s">
        <v>196</v>
      </c>
      <c r="I237" s="4" t="s">
        <v>34</v>
      </c>
      <c r="J237" s="4" t="s">
        <v>63</v>
      </c>
      <c r="K237" s="4" t="s">
        <v>50</v>
      </c>
      <c r="L237" s="4" t="s">
        <v>51</v>
      </c>
      <c r="M237" s="4" t="s">
        <v>128</v>
      </c>
      <c r="N237" s="4" t="s">
        <v>228</v>
      </c>
      <c r="O237" s="4">
        <v>4</v>
      </c>
      <c r="P237" s="6">
        <v>1048</v>
      </c>
      <c r="Q237" s="7">
        <v>0.1</v>
      </c>
      <c r="R237" s="6">
        <v>3772.8</v>
      </c>
      <c r="S237" s="6">
        <v>2565.5</v>
      </c>
      <c r="T237" s="6">
        <v>1207.3</v>
      </c>
      <c r="U237" s="8">
        <v>0.32</v>
      </c>
      <c r="V237" s="4" t="s">
        <v>78</v>
      </c>
      <c r="W237" s="4" t="s">
        <v>55</v>
      </c>
      <c r="X237" s="4">
        <v>2</v>
      </c>
      <c r="Y237" s="4" t="s">
        <v>42</v>
      </c>
    </row>
    <row r="238" spans="1:25" x14ac:dyDescent="0.25">
      <c r="A238" s="4" t="s">
        <v>544</v>
      </c>
      <c r="B238" s="5" t="s">
        <v>545</v>
      </c>
      <c r="C238" s="4" t="s">
        <v>159</v>
      </c>
      <c r="D238" s="4" t="s">
        <v>56</v>
      </c>
      <c r="E238" s="4">
        <v>2025</v>
      </c>
      <c r="F238" s="4" t="s">
        <v>99</v>
      </c>
      <c r="G238" s="4" t="s">
        <v>214</v>
      </c>
      <c r="H238" s="4" t="s">
        <v>325</v>
      </c>
      <c r="I238" s="4" t="s">
        <v>48</v>
      </c>
      <c r="J238" s="4" t="s">
        <v>49</v>
      </c>
      <c r="K238" s="4" t="s">
        <v>132</v>
      </c>
      <c r="L238" s="4" t="s">
        <v>75</v>
      </c>
      <c r="M238" s="4" t="s">
        <v>121</v>
      </c>
      <c r="N238" s="4" t="s">
        <v>122</v>
      </c>
      <c r="O238" s="4">
        <v>3</v>
      </c>
      <c r="P238" s="6">
        <v>8228</v>
      </c>
      <c r="Q238" s="7">
        <v>0.08</v>
      </c>
      <c r="R238" s="6">
        <v>22709.279999999999</v>
      </c>
      <c r="S238" s="6">
        <v>16350.68</v>
      </c>
      <c r="T238" s="6">
        <v>6358.6</v>
      </c>
      <c r="U238" s="8">
        <v>0.28000000000000003</v>
      </c>
      <c r="V238" s="4" t="s">
        <v>67</v>
      </c>
      <c r="W238" s="4" t="s">
        <v>41</v>
      </c>
      <c r="X238" s="4">
        <v>3</v>
      </c>
      <c r="Y238" s="4" t="s">
        <v>42</v>
      </c>
    </row>
    <row r="239" spans="1:25" x14ac:dyDescent="0.25">
      <c r="A239" s="4" t="s">
        <v>546</v>
      </c>
      <c r="B239" s="5" t="s">
        <v>547</v>
      </c>
      <c r="C239" s="4" t="s">
        <v>59</v>
      </c>
      <c r="D239" s="4" t="s">
        <v>60</v>
      </c>
      <c r="E239" s="4">
        <v>2025</v>
      </c>
      <c r="F239" s="4" t="s">
        <v>91</v>
      </c>
      <c r="G239" s="4" t="s">
        <v>148</v>
      </c>
      <c r="H239" s="4" t="s">
        <v>149</v>
      </c>
      <c r="I239" s="4" t="s">
        <v>48</v>
      </c>
      <c r="J239" s="4" t="s">
        <v>35</v>
      </c>
      <c r="K239" s="4" t="s">
        <v>86</v>
      </c>
      <c r="L239" s="4" t="s">
        <v>37</v>
      </c>
      <c r="M239" s="4" t="s">
        <v>80</v>
      </c>
      <c r="N239" s="4" t="s">
        <v>81</v>
      </c>
      <c r="O239" s="4">
        <v>5</v>
      </c>
      <c r="P239" s="6">
        <v>2119</v>
      </c>
      <c r="Q239" s="7">
        <v>0.05</v>
      </c>
      <c r="R239" s="6">
        <v>10065.25</v>
      </c>
      <c r="S239" s="6">
        <v>5837.84</v>
      </c>
      <c r="T239" s="6">
        <v>4227.41</v>
      </c>
      <c r="U239" s="8">
        <v>0.42</v>
      </c>
      <c r="V239" s="4" t="s">
        <v>40</v>
      </c>
      <c r="W239" s="4" t="s">
        <v>55</v>
      </c>
      <c r="X239" s="4">
        <v>1</v>
      </c>
      <c r="Y239" s="4" t="s">
        <v>106</v>
      </c>
    </row>
    <row r="240" spans="1:25" x14ac:dyDescent="0.25">
      <c r="A240" s="4" t="s">
        <v>548</v>
      </c>
      <c r="B240" s="5" t="s">
        <v>435</v>
      </c>
      <c r="C240" s="4" t="s">
        <v>159</v>
      </c>
      <c r="D240" s="4" t="s">
        <v>56</v>
      </c>
      <c r="E240" s="4">
        <v>2025</v>
      </c>
      <c r="F240" s="4" t="s">
        <v>31</v>
      </c>
      <c r="G240" s="4" t="s">
        <v>188</v>
      </c>
      <c r="H240" s="4" t="s">
        <v>189</v>
      </c>
      <c r="I240" s="4" t="s">
        <v>94</v>
      </c>
      <c r="J240" s="4" t="s">
        <v>63</v>
      </c>
      <c r="K240" s="4" t="s">
        <v>50</v>
      </c>
      <c r="L240" s="4" t="s">
        <v>75</v>
      </c>
      <c r="M240" s="4" t="s">
        <v>76</v>
      </c>
      <c r="N240" s="4" t="s">
        <v>77</v>
      </c>
      <c r="O240" s="4">
        <v>3</v>
      </c>
      <c r="P240" s="6">
        <v>5161</v>
      </c>
      <c r="Q240" s="7">
        <v>0.05</v>
      </c>
      <c r="R240" s="6">
        <v>14708.85</v>
      </c>
      <c r="S240" s="6">
        <v>10443.280000000001</v>
      </c>
      <c r="T240" s="6">
        <v>4265.57</v>
      </c>
      <c r="U240" s="8">
        <v>0.28999999999999998</v>
      </c>
      <c r="V240" s="4" t="s">
        <v>78</v>
      </c>
      <c r="W240" s="4" t="s">
        <v>55</v>
      </c>
      <c r="X240" s="4">
        <v>2</v>
      </c>
      <c r="Y240" s="4" t="s">
        <v>42</v>
      </c>
    </row>
    <row r="241" spans="1:25" x14ac:dyDescent="0.25">
      <c r="A241" s="4" t="s">
        <v>549</v>
      </c>
      <c r="B241" s="5" t="s">
        <v>511</v>
      </c>
      <c r="C241" s="4" t="s">
        <v>71</v>
      </c>
      <c r="D241" s="4" t="s">
        <v>68</v>
      </c>
      <c r="E241" s="4">
        <v>2025</v>
      </c>
      <c r="F241" s="4" t="s">
        <v>99</v>
      </c>
      <c r="G241" s="4" t="s">
        <v>100</v>
      </c>
      <c r="H241" s="4" t="s">
        <v>101</v>
      </c>
      <c r="I241" s="4" t="s">
        <v>48</v>
      </c>
      <c r="J241" s="4" t="s">
        <v>63</v>
      </c>
      <c r="K241" s="4" t="s">
        <v>95</v>
      </c>
      <c r="L241" s="4" t="s">
        <v>51</v>
      </c>
      <c r="M241" s="4" t="s">
        <v>52</v>
      </c>
      <c r="N241" s="4" t="s">
        <v>145</v>
      </c>
      <c r="O241" s="4">
        <v>6</v>
      </c>
      <c r="P241" s="6">
        <v>30019</v>
      </c>
      <c r="Q241" s="7">
        <v>0.05</v>
      </c>
      <c r="R241" s="6">
        <v>171108.3</v>
      </c>
      <c r="S241" s="6">
        <v>140308.81</v>
      </c>
      <c r="T241" s="6">
        <v>30799.49</v>
      </c>
      <c r="U241" s="8">
        <v>0.18</v>
      </c>
      <c r="V241" s="4" t="s">
        <v>78</v>
      </c>
      <c r="W241" s="4" t="s">
        <v>87</v>
      </c>
      <c r="X241" s="4">
        <v>0</v>
      </c>
      <c r="Y241" s="4" t="s">
        <v>42</v>
      </c>
    </row>
    <row r="242" spans="1:25" x14ac:dyDescent="0.25">
      <c r="A242" s="4" t="s">
        <v>550</v>
      </c>
      <c r="B242" s="5" t="s">
        <v>303</v>
      </c>
      <c r="C242" s="4" t="s">
        <v>71</v>
      </c>
      <c r="D242" s="4" t="s">
        <v>68</v>
      </c>
      <c r="E242" s="4">
        <v>2025</v>
      </c>
      <c r="F242" s="4" t="s">
        <v>31</v>
      </c>
      <c r="G242" s="4" t="s">
        <v>61</v>
      </c>
      <c r="H242" s="4" t="s">
        <v>175</v>
      </c>
      <c r="I242" s="4" t="s">
        <v>34</v>
      </c>
      <c r="J242" s="4" t="s">
        <v>63</v>
      </c>
      <c r="K242" s="4" t="s">
        <v>74</v>
      </c>
      <c r="L242" s="4" t="s">
        <v>37</v>
      </c>
      <c r="M242" s="4" t="s">
        <v>80</v>
      </c>
      <c r="N242" s="4" t="s">
        <v>150</v>
      </c>
      <c r="O242" s="4">
        <v>5</v>
      </c>
      <c r="P242" s="6">
        <v>2944</v>
      </c>
      <c r="Q242" s="7">
        <v>0.18</v>
      </c>
      <c r="R242" s="6">
        <v>12070.4</v>
      </c>
      <c r="S242" s="6">
        <v>7242.24</v>
      </c>
      <c r="T242" s="6">
        <v>4828.16</v>
      </c>
      <c r="U242" s="8">
        <v>0.4</v>
      </c>
      <c r="V242" s="4" t="s">
        <v>40</v>
      </c>
      <c r="W242" s="4" t="s">
        <v>41</v>
      </c>
      <c r="X242" s="4">
        <v>4</v>
      </c>
      <c r="Y242" s="4" t="s">
        <v>123</v>
      </c>
    </row>
    <row r="243" spans="1:25" x14ac:dyDescent="0.25">
      <c r="A243" s="4" t="s">
        <v>551</v>
      </c>
      <c r="B243" s="5" t="s">
        <v>203</v>
      </c>
      <c r="C243" s="4" t="s">
        <v>98</v>
      </c>
      <c r="D243" s="4" t="s">
        <v>56</v>
      </c>
      <c r="E243" s="4">
        <v>2025</v>
      </c>
      <c r="F243" s="4" t="s">
        <v>31</v>
      </c>
      <c r="G243" s="4" t="s">
        <v>61</v>
      </c>
      <c r="H243" s="4" t="s">
        <v>175</v>
      </c>
      <c r="I243" s="4" t="s">
        <v>48</v>
      </c>
      <c r="J243" s="4" t="s">
        <v>35</v>
      </c>
      <c r="K243" s="4" t="s">
        <v>50</v>
      </c>
      <c r="L243" s="4" t="s">
        <v>102</v>
      </c>
      <c r="M243" s="4" t="s">
        <v>103</v>
      </c>
      <c r="N243" s="4" t="s">
        <v>238</v>
      </c>
      <c r="O243" s="4">
        <v>15</v>
      </c>
      <c r="P243" s="6">
        <v>68</v>
      </c>
      <c r="Q243" s="7">
        <v>7.0000000000000007E-2</v>
      </c>
      <c r="R243" s="6">
        <v>948.6</v>
      </c>
      <c r="S243" s="6">
        <v>588.13</v>
      </c>
      <c r="T243" s="6">
        <v>360.47</v>
      </c>
      <c r="U243" s="8">
        <v>0.38</v>
      </c>
      <c r="V243" s="4" t="s">
        <v>78</v>
      </c>
      <c r="W243" s="4" t="s">
        <v>87</v>
      </c>
      <c r="X243" s="4">
        <v>0</v>
      </c>
      <c r="Y243" s="4" t="s">
        <v>88</v>
      </c>
    </row>
    <row r="244" spans="1:25" x14ac:dyDescent="0.25">
      <c r="A244" s="4" t="s">
        <v>552</v>
      </c>
      <c r="B244" s="5" t="s">
        <v>553</v>
      </c>
      <c r="C244" s="4" t="s">
        <v>209</v>
      </c>
      <c r="D244" s="4" t="s">
        <v>68</v>
      </c>
      <c r="E244" s="4">
        <v>2025</v>
      </c>
      <c r="F244" s="4" t="s">
        <v>45</v>
      </c>
      <c r="G244" s="4" t="s">
        <v>167</v>
      </c>
      <c r="H244" s="4" t="s">
        <v>168</v>
      </c>
      <c r="I244" s="4" t="s">
        <v>48</v>
      </c>
      <c r="J244" s="4" t="s">
        <v>63</v>
      </c>
      <c r="K244" s="4" t="s">
        <v>132</v>
      </c>
      <c r="L244" s="4" t="s">
        <v>37</v>
      </c>
      <c r="M244" s="4" t="s">
        <v>38</v>
      </c>
      <c r="N244" s="4" t="s">
        <v>39</v>
      </c>
      <c r="O244" s="4">
        <v>11</v>
      </c>
      <c r="P244" s="6">
        <v>4309</v>
      </c>
      <c r="Q244" s="7">
        <v>0.1</v>
      </c>
      <c r="R244" s="6">
        <v>42659.1</v>
      </c>
      <c r="S244" s="6">
        <v>24315.69</v>
      </c>
      <c r="T244" s="6">
        <v>18343.41</v>
      </c>
      <c r="U244" s="8">
        <v>0.43</v>
      </c>
      <c r="V244" s="4" t="s">
        <v>78</v>
      </c>
      <c r="W244" s="4" t="s">
        <v>55</v>
      </c>
      <c r="X244" s="4">
        <v>2</v>
      </c>
      <c r="Y244" s="4" t="s">
        <v>42</v>
      </c>
    </row>
    <row r="245" spans="1:25" x14ac:dyDescent="0.25">
      <c r="A245" s="4" t="s">
        <v>554</v>
      </c>
      <c r="B245" s="5" t="s">
        <v>528</v>
      </c>
      <c r="C245" s="4" t="s">
        <v>159</v>
      </c>
      <c r="D245" s="4" t="s">
        <v>56</v>
      </c>
      <c r="E245" s="4">
        <v>2025</v>
      </c>
      <c r="F245" s="4" t="s">
        <v>99</v>
      </c>
      <c r="G245" s="4" t="s">
        <v>214</v>
      </c>
      <c r="H245" s="4" t="s">
        <v>325</v>
      </c>
      <c r="I245" s="4" t="s">
        <v>94</v>
      </c>
      <c r="J245" s="4" t="s">
        <v>35</v>
      </c>
      <c r="K245" s="4" t="s">
        <v>132</v>
      </c>
      <c r="L245" s="4" t="s">
        <v>75</v>
      </c>
      <c r="M245" s="4" t="s">
        <v>121</v>
      </c>
      <c r="N245" s="4" t="s">
        <v>122</v>
      </c>
      <c r="O245" s="4">
        <v>1</v>
      </c>
      <c r="P245" s="6">
        <v>6142</v>
      </c>
      <c r="Q245" s="7">
        <v>0.09</v>
      </c>
      <c r="R245" s="6">
        <v>5589.22</v>
      </c>
      <c r="S245" s="6">
        <v>4024.24</v>
      </c>
      <c r="T245" s="6">
        <v>1564.98</v>
      </c>
      <c r="U245" s="8">
        <v>0.28000000000000003</v>
      </c>
      <c r="V245" s="4" t="s">
        <v>54</v>
      </c>
      <c r="W245" s="4" t="s">
        <v>55</v>
      </c>
      <c r="X245" s="4">
        <v>2</v>
      </c>
      <c r="Y245" s="4" t="s">
        <v>88</v>
      </c>
    </row>
    <row r="246" spans="1:25" x14ac:dyDescent="0.25">
      <c r="A246" s="4" t="s">
        <v>555</v>
      </c>
      <c r="B246" s="5" t="s">
        <v>556</v>
      </c>
      <c r="C246" s="4" t="s">
        <v>209</v>
      </c>
      <c r="D246" s="4" t="s">
        <v>68</v>
      </c>
      <c r="E246" s="4">
        <v>2025</v>
      </c>
      <c r="F246" s="4" t="s">
        <v>99</v>
      </c>
      <c r="G246" s="4" t="s">
        <v>252</v>
      </c>
      <c r="H246" s="4" t="s">
        <v>253</v>
      </c>
      <c r="I246" s="4" t="s">
        <v>94</v>
      </c>
      <c r="J246" s="4" t="s">
        <v>35</v>
      </c>
      <c r="K246" s="4" t="s">
        <v>74</v>
      </c>
      <c r="L246" s="4" t="s">
        <v>102</v>
      </c>
      <c r="M246" s="4" t="s">
        <v>113</v>
      </c>
      <c r="N246" s="4" t="s">
        <v>114</v>
      </c>
      <c r="O246" s="4">
        <v>20</v>
      </c>
      <c r="P246" s="6">
        <v>217</v>
      </c>
      <c r="Q246" s="7">
        <v>0.05</v>
      </c>
      <c r="R246" s="6">
        <v>4123</v>
      </c>
      <c r="S246" s="6">
        <v>2721.18</v>
      </c>
      <c r="T246" s="6">
        <v>1401.82</v>
      </c>
      <c r="U246" s="8">
        <v>0.34</v>
      </c>
      <c r="V246" s="4" t="s">
        <v>40</v>
      </c>
      <c r="W246" s="4" t="s">
        <v>41</v>
      </c>
      <c r="X246" s="4">
        <v>5</v>
      </c>
      <c r="Y246" s="4" t="s">
        <v>42</v>
      </c>
    </row>
    <row r="247" spans="1:25" x14ac:dyDescent="0.25">
      <c r="A247" s="4" t="s">
        <v>557</v>
      </c>
      <c r="B247" s="5" t="s">
        <v>262</v>
      </c>
      <c r="C247" s="4" t="s">
        <v>159</v>
      </c>
      <c r="D247" s="4" t="s">
        <v>56</v>
      </c>
      <c r="E247" s="4">
        <v>2025</v>
      </c>
      <c r="F247" s="4" t="s">
        <v>45</v>
      </c>
      <c r="G247" s="4" t="s">
        <v>46</v>
      </c>
      <c r="H247" s="4" t="s">
        <v>47</v>
      </c>
      <c r="I247" s="4" t="s">
        <v>94</v>
      </c>
      <c r="J247" s="4" t="s">
        <v>63</v>
      </c>
      <c r="K247" s="4" t="s">
        <v>95</v>
      </c>
      <c r="L247" s="4" t="s">
        <v>51</v>
      </c>
      <c r="M247" s="4" t="s">
        <v>52</v>
      </c>
      <c r="N247" s="4" t="s">
        <v>145</v>
      </c>
      <c r="O247" s="4">
        <v>3</v>
      </c>
      <c r="P247" s="6">
        <v>28612</v>
      </c>
      <c r="Q247" s="7">
        <v>0.14000000000000001</v>
      </c>
      <c r="R247" s="6">
        <v>73818.960000000006</v>
      </c>
      <c r="S247" s="6">
        <v>60531.55</v>
      </c>
      <c r="T247" s="6">
        <v>13287.41</v>
      </c>
      <c r="U247" s="8">
        <v>0.18</v>
      </c>
      <c r="V247" s="4" t="s">
        <v>67</v>
      </c>
      <c r="W247" s="4" t="s">
        <v>87</v>
      </c>
      <c r="X247" s="4">
        <v>0</v>
      </c>
      <c r="Y247" s="4" t="s">
        <v>123</v>
      </c>
    </row>
    <row r="248" spans="1:25" x14ac:dyDescent="0.25">
      <c r="A248" s="4" t="s">
        <v>558</v>
      </c>
      <c r="B248" s="5" t="s">
        <v>559</v>
      </c>
      <c r="C248" s="4" t="s">
        <v>209</v>
      </c>
      <c r="D248" s="4" t="s">
        <v>68</v>
      </c>
      <c r="E248" s="4">
        <v>2025</v>
      </c>
      <c r="F248" s="4" t="s">
        <v>45</v>
      </c>
      <c r="G248" s="4" t="s">
        <v>72</v>
      </c>
      <c r="H248" s="4" t="s">
        <v>73</v>
      </c>
      <c r="I248" s="4" t="s">
        <v>48</v>
      </c>
      <c r="J248" s="4" t="s">
        <v>35</v>
      </c>
      <c r="K248" s="4" t="s">
        <v>50</v>
      </c>
      <c r="L248" s="4" t="s">
        <v>37</v>
      </c>
      <c r="M248" s="4" t="s">
        <v>38</v>
      </c>
      <c r="N248" s="4" t="s">
        <v>185</v>
      </c>
      <c r="O248" s="4">
        <v>11</v>
      </c>
      <c r="P248" s="6">
        <v>8163</v>
      </c>
      <c r="Q248" s="7">
        <v>7.0000000000000007E-2</v>
      </c>
      <c r="R248" s="6">
        <v>83507.490000000005</v>
      </c>
      <c r="S248" s="6">
        <v>52609.72</v>
      </c>
      <c r="T248" s="6">
        <v>30897.77</v>
      </c>
      <c r="U248" s="8">
        <v>0.37</v>
      </c>
      <c r="V248" s="4" t="s">
        <v>40</v>
      </c>
      <c r="W248" s="4" t="s">
        <v>55</v>
      </c>
      <c r="X248" s="4">
        <v>3</v>
      </c>
      <c r="Y248" s="4" t="s">
        <v>42</v>
      </c>
    </row>
    <row r="249" spans="1:25" x14ac:dyDescent="0.25">
      <c r="A249" s="4" t="s">
        <v>560</v>
      </c>
      <c r="B249" s="5" t="s">
        <v>323</v>
      </c>
      <c r="C249" s="4" t="s">
        <v>159</v>
      </c>
      <c r="D249" s="4" t="s">
        <v>56</v>
      </c>
      <c r="E249" s="4">
        <v>2025</v>
      </c>
      <c r="F249" s="4" t="s">
        <v>91</v>
      </c>
      <c r="G249" s="4" t="s">
        <v>183</v>
      </c>
      <c r="H249" s="4" t="s">
        <v>184</v>
      </c>
      <c r="I249" s="4" t="s">
        <v>48</v>
      </c>
      <c r="J249" s="4" t="s">
        <v>49</v>
      </c>
      <c r="K249" s="4" t="s">
        <v>95</v>
      </c>
      <c r="L249" s="4" t="s">
        <v>51</v>
      </c>
      <c r="M249" s="4" t="s">
        <v>52</v>
      </c>
      <c r="N249" s="4" t="s">
        <v>53</v>
      </c>
      <c r="O249" s="4">
        <v>5</v>
      </c>
      <c r="P249" s="6">
        <v>70152</v>
      </c>
      <c r="Q249" s="7">
        <v>0.08</v>
      </c>
      <c r="R249" s="6">
        <v>322699.2</v>
      </c>
      <c r="S249" s="6">
        <v>283975.3</v>
      </c>
      <c r="T249" s="6">
        <v>38723.9</v>
      </c>
      <c r="U249" s="8">
        <v>0.12</v>
      </c>
      <c r="V249" s="4" t="s">
        <v>78</v>
      </c>
      <c r="W249" s="4" t="s">
        <v>41</v>
      </c>
      <c r="X249" s="4">
        <v>5</v>
      </c>
      <c r="Y249" s="4" t="s">
        <v>42</v>
      </c>
    </row>
    <row r="250" spans="1:25" x14ac:dyDescent="0.25">
      <c r="A250" s="4" t="s">
        <v>561</v>
      </c>
      <c r="B250" s="5" t="s">
        <v>490</v>
      </c>
      <c r="C250" s="4" t="s">
        <v>117</v>
      </c>
      <c r="D250" s="4" t="s">
        <v>56</v>
      </c>
      <c r="E250" s="4">
        <v>2025</v>
      </c>
      <c r="F250" s="4" t="s">
        <v>91</v>
      </c>
      <c r="G250" s="4" t="s">
        <v>92</v>
      </c>
      <c r="H250" s="4" t="s">
        <v>143</v>
      </c>
      <c r="I250" s="4" t="s">
        <v>48</v>
      </c>
      <c r="J250" s="4" t="s">
        <v>35</v>
      </c>
      <c r="K250" s="4" t="s">
        <v>64</v>
      </c>
      <c r="L250" s="4" t="s">
        <v>51</v>
      </c>
      <c r="M250" s="4" t="s">
        <v>65</v>
      </c>
      <c r="N250" s="4" t="s">
        <v>247</v>
      </c>
      <c r="O250" s="4">
        <v>1</v>
      </c>
      <c r="P250" s="6">
        <v>56388</v>
      </c>
      <c r="Q250" s="7">
        <v>0.09</v>
      </c>
      <c r="R250" s="6">
        <v>51313.08</v>
      </c>
      <c r="S250" s="6">
        <v>43102.99</v>
      </c>
      <c r="T250" s="6">
        <v>8210.09</v>
      </c>
      <c r="U250" s="8">
        <v>0.16</v>
      </c>
      <c r="V250" s="4" t="s">
        <v>105</v>
      </c>
      <c r="W250" s="4" t="s">
        <v>41</v>
      </c>
      <c r="X250" s="4">
        <v>6</v>
      </c>
      <c r="Y250" s="4" t="s">
        <v>88</v>
      </c>
    </row>
    <row r="251" spans="1:25" x14ac:dyDescent="0.25">
      <c r="A251" s="4" t="s">
        <v>562</v>
      </c>
      <c r="B251" s="5" t="s">
        <v>211</v>
      </c>
      <c r="C251" s="4" t="s">
        <v>59</v>
      </c>
      <c r="D251" s="4" t="s">
        <v>60</v>
      </c>
      <c r="E251" s="4">
        <v>2025</v>
      </c>
      <c r="F251" s="4" t="s">
        <v>31</v>
      </c>
      <c r="G251" s="4" t="s">
        <v>32</v>
      </c>
      <c r="H251" s="4" t="s">
        <v>33</v>
      </c>
      <c r="I251" s="4" t="s">
        <v>48</v>
      </c>
      <c r="J251" s="4" t="s">
        <v>49</v>
      </c>
      <c r="K251" s="4" t="s">
        <v>95</v>
      </c>
      <c r="L251" s="4" t="s">
        <v>51</v>
      </c>
      <c r="M251" s="4" t="s">
        <v>128</v>
      </c>
      <c r="N251" s="4" t="s">
        <v>228</v>
      </c>
      <c r="O251" s="4">
        <v>3</v>
      </c>
      <c r="P251" s="6">
        <v>1521</v>
      </c>
      <c r="Q251" s="7">
        <v>0.02</v>
      </c>
      <c r="R251" s="6">
        <v>4471.74</v>
      </c>
      <c r="S251" s="6">
        <v>3040.78</v>
      </c>
      <c r="T251" s="6">
        <v>1430.96</v>
      </c>
      <c r="U251" s="8">
        <v>0.32</v>
      </c>
      <c r="V251" s="4" t="s">
        <v>105</v>
      </c>
      <c r="W251" s="4" t="s">
        <v>55</v>
      </c>
      <c r="X251" s="4">
        <v>2</v>
      </c>
      <c r="Y251" s="4" t="s">
        <v>106</v>
      </c>
    </row>
    <row r="252" spans="1:25" x14ac:dyDescent="0.25">
      <c r="A252" s="20"/>
      <c r="B252" s="20"/>
      <c r="C252" s="20"/>
      <c r="D252" s="20"/>
      <c r="E252" s="20"/>
      <c r="F252" s="20"/>
      <c r="G252" s="20"/>
      <c r="H252" s="20"/>
      <c r="I252" s="20"/>
      <c r="J252" s="20"/>
      <c r="K252" s="20"/>
      <c r="L252" s="20"/>
      <c r="M252" s="20"/>
      <c r="N252" s="20"/>
      <c r="O252" s="20"/>
      <c r="P252" s="20"/>
      <c r="Q252" s="20"/>
      <c r="R252" s="10"/>
      <c r="S252" s="14"/>
      <c r="T252" s="14"/>
      <c r="U252" s="16"/>
      <c r="V252" s="13"/>
      <c r="W252" s="13"/>
      <c r="X252" s="13"/>
      <c r="Y252" s="13"/>
    </row>
    <row r="257" spans="1:2" x14ac:dyDescent="0.25">
      <c r="A257" t="s">
        <v>25</v>
      </c>
      <c r="B257" t="s">
        <v>221</v>
      </c>
    </row>
    <row r="258" spans="1:2" x14ac:dyDescent="0.25">
      <c r="A258" s="17">
        <v>159.54</v>
      </c>
      <c r="B258" s="10">
        <v>260.3</v>
      </c>
    </row>
    <row r="259" spans="1:2" x14ac:dyDescent="0.25">
      <c r="A259" s="17">
        <v>242.16</v>
      </c>
      <c r="B259" s="10">
        <v>395.1</v>
      </c>
    </row>
    <row r="260" spans="1:2" x14ac:dyDescent="0.25">
      <c r="A260" s="17">
        <v>298.74</v>
      </c>
      <c r="B260" s="10">
        <v>531.1</v>
      </c>
    </row>
    <row r="261" spans="1:2" x14ac:dyDescent="0.25">
      <c r="A261" s="17">
        <v>314.04000000000002</v>
      </c>
      <c r="B261" s="10">
        <v>558.28</v>
      </c>
    </row>
    <row r="262" spans="1:2" x14ac:dyDescent="0.25">
      <c r="A262" s="17">
        <v>353.27</v>
      </c>
      <c r="B262" s="10">
        <v>576.39</v>
      </c>
    </row>
    <row r="263" spans="1:2" x14ac:dyDescent="0.25">
      <c r="A263" s="17">
        <v>360.47</v>
      </c>
      <c r="B263" s="10">
        <v>588.13</v>
      </c>
    </row>
    <row r="264" spans="1:2" x14ac:dyDescent="0.25">
      <c r="A264" s="17">
        <v>386.47</v>
      </c>
      <c r="B264" s="10">
        <v>821.26</v>
      </c>
    </row>
    <row r="265" spans="1:2" x14ac:dyDescent="0.25">
      <c r="A265" s="17">
        <v>449.29</v>
      </c>
      <c r="B265" s="10">
        <v>733.06</v>
      </c>
    </row>
    <row r="266" spans="1:2" x14ac:dyDescent="0.25">
      <c r="A266" s="17">
        <v>449.74</v>
      </c>
      <c r="B266" s="10">
        <v>913.1</v>
      </c>
    </row>
    <row r="267" spans="1:2" x14ac:dyDescent="0.25">
      <c r="A267" s="17">
        <v>467.05</v>
      </c>
      <c r="B267" s="10">
        <v>830.3</v>
      </c>
    </row>
    <row r="268" spans="1:2" x14ac:dyDescent="0.25">
      <c r="A268" s="17">
        <v>469.93</v>
      </c>
      <c r="B268" s="10">
        <v>835.43</v>
      </c>
    </row>
    <row r="269" spans="1:2" x14ac:dyDescent="0.25">
      <c r="A269" s="17">
        <v>491.42</v>
      </c>
      <c r="B269" s="10">
        <v>953.94</v>
      </c>
    </row>
    <row r="270" spans="1:2" x14ac:dyDescent="0.25">
      <c r="A270" s="17">
        <v>516.78</v>
      </c>
      <c r="B270" s="10">
        <v>918.72</v>
      </c>
    </row>
    <row r="271" spans="1:2" x14ac:dyDescent="0.25">
      <c r="A271" s="17">
        <v>555.09</v>
      </c>
      <c r="B271" s="10">
        <v>905.67</v>
      </c>
    </row>
    <row r="272" spans="1:2" x14ac:dyDescent="0.25">
      <c r="A272" s="17">
        <v>562.89</v>
      </c>
      <c r="B272" s="10">
        <v>1196.1500000000001</v>
      </c>
    </row>
    <row r="273" spans="1:2" x14ac:dyDescent="0.25">
      <c r="A273" s="17">
        <v>579.83000000000004</v>
      </c>
      <c r="B273" s="10">
        <v>1232.1300000000001</v>
      </c>
    </row>
    <row r="274" spans="1:2" x14ac:dyDescent="0.25">
      <c r="A274" s="17">
        <v>598.69000000000005</v>
      </c>
      <c r="B274" s="10">
        <v>1162.1600000000001</v>
      </c>
    </row>
    <row r="275" spans="1:2" x14ac:dyDescent="0.25">
      <c r="A275" s="17">
        <v>607.1</v>
      </c>
      <c r="B275" s="10">
        <v>1416.58</v>
      </c>
    </row>
    <row r="276" spans="1:2" x14ac:dyDescent="0.25">
      <c r="A276" s="17">
        <v>609.29</v>
      </c>
      <c r="B276" s="10">
        <v>1083.19</v>
      </c>
    </row>
    <row r="277" spans="1:2" x14ac:dyDescent="0.25">
      <c r="A277" s="17">
        <v>642.47</v>
      </c>
      <c r="B277" s="10">
        <v>1142.17</v>
      </c>
    </row>
    <row r="278" spans="1:2" x14ac:dyDescent="0.25">
      <c r="A278" s="17">
        <v>650.25</v>
      </c>
      <c r="B278" s="10">
        <v>1320.21</v>
      </c>
    </row>
    <row r="279" spans="1:2" x14ac:dyDescent="0.25">
      <c r="A279" s="17">
        <v>666.11</v>
      </c>
      <c r="B279" s="10">
        <v>1352.41</v>
      </c>
    </row>
    <row r="280" spans="1:2" x14ac:dyDescent="0.25">
      <c r="A280" s="17">
        <v>669.66</v>
      </c>
      <c r="B280" s="10">
        <v>1190.52</v>
      </c>
    </row>
    <row r="281" spans="1:2" x14ac:dyDescent="0.25">
      <c r="A281" s="17">
        <v>767.88</v>
      </c>
      <c r="B281" s="10">
        <v>1365.12</v>
      </c>
    </row>
    <row r="282" spans="1:2" x14ac:dyDescent="0.25">
      <c r="A282" s="17">
        <v>800.99</v>
      </c>
      <c r="B282" s="10">
        <v>1626.26</v>
      </c>
    </row>
    <row r="283" spans="1:2" x14ac:dyDescent="0.25">
      <c r="A283" s="17">
        <v>817.66</v>
      </c>
      <c r="B283" s="10">
        <v>1737.53</v>
      </c>
    </row>
    <row r="284" spans="1:2" x14ac:dyDescent="0.25">
      <c r="A284" s="17">
        <v>845.08</v>
      </c>
      <c r="B284" s="10">
        <v>1167.02</v>
      </c>
    </row>
    <row r="285" spans="1:2" x14ac:dyDescent="0.25">
      <c r="A285" s="17">
        <v>870.54</v>
      </c>
      <c r="B285" s="10">
        <v>1689.87</v>
      </c>
    </row>
    <row r="286" spans="1:2" x14ac:dyDescent="0.25">
      <c r="A286" s="17">
        <v>913.99</v>
      </c>
      <c r="B286" s="10">
        <v>1855.69</v>
      </c>
    </row>
    <row r="287" spans="1:2" x14ac:dyDescent="0.25">
      <c r="A287" s="17">
        <v>967.08</v>
      </c>
      <c r="B287" s="10">
        <v>2055.0300000000002</v>
      </c>
    </row>
    <row r="288" spans="1:2" x14ac:dyDescent="0.25">
      <c r="A288" s="17">
        <v>972.48</v>
      </c>
      <c r="B288" s="10">
        <v>2066.52</v>
      </c>
    </row>
    <row r="289" spans="1:2" x14ac:dyDescent="0.25">
      <c r="A289" s="17">
        <v>999.65</v>
      </c>
      <c r="B289" s="10">
        <v>1777.15</v>
      </c>
    </row>
    <row r="290" spans="1:2" x14ac:dyDescent="0.25">
      <c r="A290" s="17">
        <v>1000.69</v>
      </c>
      <c r="B290" s="10">
        <v>2031.71</v>
      </c>
    </row>
    <row r="291" spans="1:2" x14ac:dyDescent="0.25">
      <c r="A291" s="17">
        <v>1020.76</v>
      </c>
      <c r="B291" s="10">
        <v>2381.79</v>
      </c>
    </row>
    <row r="292" spans="1:2" x14ac:dyDescent="0.25">
      <c r="A292" s="17">
        <v>1023.12</v>
      </c>
      <c r="B292" s="10">
        <v>1534.68</v>
      </c>
    </row>
    <row r="293" spans="1:2" x14ac:dyDescent="0.25">
      <c r="A293" s="17">
        <v>1029.24</v>
      </c>
      <c r="B293" s="10">
        <v>2089.6799999999998</v>
      </c>
    </row>
    <row r="294" spans="1:2" x14ac:dyDescent="0.25">
      <c r="A294" s="17">
        <v>1067.04</v>
      </c>
      <c r="B294" s="10">
        <v>1740.96</v>
      </c>
    </row>
    <row r="295" spans="1:2" x14ac:dyDescent="0.25">
      <c r="A295" s="17">
        <v>1075.5899999999999</v>
      </c>
      <c r="B295" s="10">
        <v>1754.91</v>
      </c>
    </row>
    <row r="296" spans="1:2" x14ac:dyDescent="0.25">
      <c r="A296" s="17">
        <v>1142.4100000000001</v>
      </c>
      <c r="B296" s="10">
        <v>2665.63</v>
      </c>
    </row>
    <row r="297" spans="1:2" x14ac:dyDescent="0.25">
      <c r="A297" s="17">
        <v>1159.55</v>
      </c>
      <c r="B297" s="10">
        <v>2250.89</v>
      </c>
    </row>
    <row r="298" spans="1:2" x14ac:dyDescent="0.25">
      <c r="A298" s="17">
        <v>1172.52</v>
      </c>
      <c r="B298" s="10">
        <v>2276.08</v>
      </c>
    </row>
    <row r="299" spans="1:2" x14ac:dyDescent="0.25">
      <c r="A299" s="17">
        <v>1203.8399999999999</v>
      </c>
      <c r="B299" s="10">
        <v>2558.16</v>
      </c>
    </row>
    <row r="300" spans="1:2" x14ac:dyDescent="0.25">
      <c r="A300" s="17">
        <v>1207.3</v>
      </c>
      <c r="B300" s="10">
        <v>2565.5</v>
      </c>
    </row>
    <row r="301" spans="1:2" x14ac:dyDescent="0.25">
      <c r="A301" s="17">
        <v>1296.76</v>
      </c>
      <c r="B301" s="10">
        <v>3334.52</v>
      </c>
    </row>
    <row r="302" spans="1:2" x14ac:dyDescent="0.25">
      <c r="A302" s="17">
        <v>1360.38</v>
      </c>
      <c r="B302" s="10">
        <v>1878.62</v>
      </c>
    </row>
    <row r="303" spans="1:2" x14ac:dyDescent="0.25">
      <c r="A303" s="17">
        <v>1366.73</v>
      </c>
      <c r="B303" s="10">
        <v>2904.31</v>
      </c>
    </row>
    <row r="304" spans="1:2" x14ac:dyDescent="0.25">
      <c r="A304" s="17">
        <v>1399</v>
      </c>
      <c r="B304" s="10">
        <v>2840.4</v>
      </c>
    </row>
    <row r="305" spans="1:2" x14ac:dyDescent="0.25">
      <c r="A305" s="17">
        <v>1401.82</v>
      </c>
      <c r="B305" s="10">
        <v>2721.18</v>
      </c>
    </row>
    <row r="306" spans="1:2" x14ac:dyDescent="0.25">
      <c r="A306" s="17">
        <v>1430.96</v>
      </c>
      <c r="B306" s="10">
        <v>3040.78</v>
      </c>
    </row>
    <row r="307" spans="1:2" x14ac:dyDescent="0.25">
      <c r="A307" s="17">
        <v>1433.26</v>
      </c>
      <c r="B307" s="10">
        <v>2909.94</v>
      </c>
    </row>
    <row r="308" spans="1:2" x14ac:dyDescent="0.25">
      <c r="A308" s="17">
        <v>1434.51</v>
      </c>
      <c r="B308" s="10">
        <v>2550.2399999999998</v>
      </c>
    </row>
    <row r="309" spans="1:2" x14ac:dyDescent="0.25">
      <c r="A309" s="17">
        <v>1441.44</v>
      </c>
      <c r="B309" s="10">
        <v>3706.56</v>
      </c>
    </row>
    <row r="310" spans="1:2" x14ac:dyDescent="0.25">
      <c r="A310" s="17">
        <v>1463.2</v>
      </c>
      <c r="B310" s="10">
        <v>2840.33</v>
      </c>
    </row>
    <row r="311" spans="1:2" x14ac:dyDescent="0.25">
      <c r="A311" s="17">
        <v>1493.64</v>
      </c>
      <c r="B311" s="10">
        <v>3840.78</v>
      </c>
    </row>
    <row r="312" spans="1:2" x14ac:dyDescent="0.25">
      <c r="A312" s="17">
        <v>1527.31</v>
      </c>
      <c r="B312" s="10">
        <v>3739.29</v>
      </c>
    </row>
    <row r="313" spans="1:2" x14ac:dyDescent="0.25">
      <c r="A313" s="17">
        <v>1538.6</v>
      </c>
      <c r="B313" s="10">
        <v>3590.05</v>
      </c>
    </row>
    <row r="314" spans="1:2" x14ac:dyDescent="0.25">
      <c r="A314" s="17">
        <v>1564.98</v>
      </c>
      <c r="B314" s="10">
        <v>4024.24</v>
      </c>
    </row>
    <row r="315" spans="1:2" x14ac:dyDescent="0.25">
      <c r="A315" s="17">
        <v>1608.48</v>
      </c>
      <c r="B315" s="10">
        <v>2412.7199999999998</v>
      </c>
    </row>
    <row r="316" spans="1:2" x14ac:dyDescent="0.25">
      <c r="A316" s="17">
        <v>1661.44</v>
      </c>
      <c r="B316" s="10">
        <v>2294.36</v>
      </c>
    </row>
    <row r="317" spans="1:2" x14ac:dyDescent="0.25">
      <c r="A317" s="17">
        <v>1731.66</v>
      </c>
      <c r="B317" s="10">
        <v>4452.84</v>
      </c>
    </row>
    <row r="318" spans="1:2" x14ac:dyDescent="0.25">
      <c r="A318" s="17">
        <v>1783.14</v>
      </c>
      <c r="B318" s="10">
        <v>3789.18</v>
      </c>
    </row>
    <row r="319" spans="1:2" x14ac:dyDescent="0.25">
      <c r="A319" s="17">
        <v>1795.66</v>
      </c>
      <c r="B319" s="10">
        <v>4396.28</v>
      </c>
    </row>
    <row r="320" spans="1:2" x14ac:dyDescent="0.25">
      <c r="A320" s="17">
        <v>1799.1</v>
      </c>
      <c r="B320" s="10">
        <v>3492.36</v>
      </c>
    </row>
    <row r="321" spans="1:2" x14ac:dyDescent="0.25">
      <c r="A321" s="17">
        <v>1878.33</v>
      </c>
      <c r="B321" s="10">
        <v>4598.67</v>
      </c>
    </row>
    <row r="322" spans="1:2" x14ac:dyDescent="0.25">
      <c r="A322" s="17">
        <v>1893.09</v>
      </c>
      <c r="B322" s="10">
        <v>3843.56</v>
      </c>
    </row>
    <row r="323" spans="1:2" x14ac:dyDescent="0.25">
      <c r="A323" s="17">
        <v>1973.66</v>
      </c>
      <c r="B323" s="10">
        <v>4832.08</v>
      </c>
    </row>
    <row r="324" spans="1:2" x14ac:dyDescent="0.25">
      <c r="A324" s="17">
        <v>1998.82</v>
      </c>
      <c r="B324" s="10">
        <v>4247.4799999999996</v>
      </c>
    </row>
    <row r="325" spans="1:2" x14ac:dyDescent="0.25">
      <c r="A325" s="17">
        <v>2031.48</v>
      </c>
      <c r="B325" s="10">
        <v>4124.5200000000004</v>
      </c>
    </row>
    <row r="326" spans="1:2" x14ac:dyDescent="0.25">
      <c r="A326" s="17">
        <v>2081.5700000000002</v>
      </c>
      <c r="B326" s="10">
        <v>5096.2700000000004</v>
      </c>
    </row>
    <row r="327" spans="1:2" x14ac:dyDescent="0.25">
      <c r="A327" s="17">
        <v>2109.7399999999998</v>
      </c>
      <c r="B327" s="10">
        <v>4922.74</v>
      </c>
    </row>
    <row r="328" spans="1:2" x14ac:dyDescent="0.25">
      <c r="A328" s="17">
        <v>2116.39</v>
      </c>
      <c r="B328" s="10">
        <v>5181.51</v>
      </c>
    </row>
    <row r="329" spans="1:2" x14ac:dyDescent="0.25">
      <c r="A329" s="17">
        <v>2147.9</v>
      </c>
      <c r="B329" s="10">
        <v>4360.8999999999996</v>
      </c>
    </row>
    <row r="330" spans="1:2" x14ac:dyDescent="0.25">
      <c r="A330" s="17">
        <v>2157.38</v>
      </c>
      <c r="B330" s="10">
        <v>5281.87</v>
      </c>
    </row>
    <row r="331" spans="1:2" x14ac:dyDescent="0.25">
      <c r="A331" s="17">
        <v>2174.44</v>
      </c>
      <c r="B331" s="10">
        <v>4220.96</v>
      </c>
    </row>
    <row r="332" spans="1:2" x14ac:dyDescent="0.25">
      <c r="A332" s="17">
        <v>2240.67</v>
      </c>
      <c r="B332" s="10">
        <v>6377.28</v>
      </c>
    </row>
    <row r="333" spans="1:2" x14ac:dyDescent="0.25">
      <c r="A333" s="17">
        <v>2285.0500000000002</v>
      </c>
      <c r="B333" s="10">
        <v>4435.7</v>
      </c>
    </row>
    <row r="334" spans="1:2" x14ac:dyDescent="0.25">
      <c r="A334" s="17">
        <v>2285.92</v>
      </c>
      <c r="B334" s="10">
        <v>3428.88</v>
      </c>
    </row>
    <row r="335" spans="1:2" x14ac:dyDescent="0.25">
      <c r="A335" s="17">
        <v>2358.58</v>
      </c>
      <c r="B335" s="10">
        <v>3126.5</v>
      </c>
    </row>
    <row r="336" spans="1:2" x14ac:dyDescent="0.25">
      <c r="A336" s="17">
        <v>2359.9</v>
      </c>
      <c r="B336" s="10">
        <v>4791.32</v>
      </c>
    </row>
    <row r="337" spans="1:2" x14ac:dyDescent="0.25">
      <c r="A337" s="17">
        <v>2402.6999999999998</v>
      </c>
      <c r="B337" s="10">
        <v>6178.38</v>
      </c>
    </row>
    <row r="338" spans="1:2" x14ac:dyDescent="0.25">
      <c r="A338" s="17">
        <v>2405.4</v>
      </c>
      <c r="B338" s="10">
        <v>5612.61</v>
      </c>
    </row>
    <row r="339" spans="1:2" x14ac:dyDescent="0.25">
      <c r="A339" s="17">
        <v>2529.7800000000002</v>
      </c>
      <c r="B339" s="10">
        <v>7200.16</v>
      </c>
    </row>
    <row r="340" spans="1:2" x14ac:dyDescent="0.25">
      <c r="A340" s="17">
        <v>2549.5300000000002</v>
      </c>
      <c r="B340" s="10">
        <v>5417.75</v>
      </c>
    </row>
    <row r="341" spans="1:2" x14ac:dyDescent="0.25">
      <c r="A341" s="17">
        <v>2611.6999999999998</v>
      </c>
      <c r="B341" s="10">
        <v>3917.55</v>
      </c>
    </row>
    <row r="342" spans="1:2" x14ac:dyDescent="0.25">
      <c r="A342" s="17">
        <v>2633.87</v>
      </c>
      <c r="B342" s="10">
        <v>6772.81</v>
      </c>
    </row>
    <row r="343" spans="1:2" x14ac:dyDescent="0.25">
      <c r="A343" s="17">
        <v>2659.33</v>
      </c>
      <c r="B343" s="10">
        <v>3672.42</v>
      </c>
    </row>
    <row r="344" spans="1:2" x14ac:dyDescent="0.25">
      <c r="A344" s="17">
        <v>2734.79</v>
      </c>
      <c r="B344" s="10">
        <v>5552.44</v>
      </c>
    </row>
    <row r="345" spans="1:2" x14ac:dyDescent="0.25">
      <c r="A345" s="17">
        <v>2816.1</v>
      </c>
      <c r="B345" s="10">
        <v>3888.9</v>
      </c>
    </row>
    <row r="346" spans="1:2" x14ac:dyDescent="0.25">
      <c r="A346" s="17">
        <v>2816.87</v>
      </c>
      <c r="B346" s="10">
        <v>6896.47</v>
      </c>
    </row>
    <row r="347" spans="1:2" x14ac:dyDescent="0.25">
      <c r="A347" s="17">
        <v>2833.08</v>
      </c>
      <c r="B347" s="10">
        <v>3912.36</v>
      </c>
    </row>
    <row r="348" spans="1:2" x14ac:dyDescent="0.25">
      <c r="A348" s="17">
        <v>2848.91</v>
      </c>
      <c r="B348" s="10">
        <v>8108.44</v>
      </c>
    </row>
    <row r="349" spans="1:2" x14ac:dyDescent="0.25">
      <c r="A349" s="17">
        <v>3007.7</v>
      </c>
      <c r="B349" s="10">
        <v>6106.54</v>
      </c>
    </row>
    <row r="350" spans="1:2" x14ac:dyDescent="0.25">
      <c r="A350" s="17">
        <v>3019.44</v>
      </c>
      <c r="B350" s="10">
        <v>7045.36</v>
      </c>
    </row>
    <row r="351" spans="1:2" x14ac:dyDescent="0.25">
      <c r="A351" s="17">
        <v>3028.32</v>
      </c>
      <c r="B351" s="10">
        <v>4542.4799999999996</v>
      </c>
    </row>
    <row r="352" spans="1:2" x14ac:dyDescent="0.25">
      <c r="A352" s="17">
        <v>3079.59</v>
      </c>
      <c r="B352" s="10">
        <v>4252.7700000000004</v>
      </c>
    </row>
    <row r="353" spans="1:2" x14ac:dyDescent="0.25">
      <c r="A353" s="17">
        <v>3090.02</v>
      </c>
      <c r="B353" s="10">
        <v>7945.78</v>
      </c>
    </row>
    <row r="354" spans="1:2" x14ac:dyDescent="0.25">
      <c r="A354" s="17">
        <v>3155.01</v>
      </c>
      <c r="B354" s="10">
        <v>6405.63</v>
      </c>
    </row>
    <row r="355" spans="1:2" x14ac:dyDescent="0.25">
      <c r="A355" s="17">
        <v>3266.03</v>
      </c>
      <c r="B355" s="10">
        <v>6339.93</v>
      </c>
    </row>
    <row r="356" spans="1:2" x14ac:dyDescent="0.25">
      <c r="A356" s="17">
        <v>3341.66</v>
      </c>
      <c r="B356" s="10">
        <v>7797.22</v>
      </c>
    </row>
    <row r="357" spans="1:2" x14ac:dyDescent="0.25">
      <c r="A357" s="17">
        <v>3735.72</v>
      </c>
      <c r="B357" s="10">
        <v>9606.1200000000008</v>
      </c>
    </row>
    <row r="358" spans="1:2" x14ac:dyDescent="0.25">
      <c r="A358" s="17">
        <v>3893.29</v>
      </c>
      <c r="B358" s="10">
        <v>9084.35</v>
      </c>
    </row>
    <row r="359" spans="1:2" x14ac:dyDescent="0.25">
      <c r="A359" s="17">
        <v>4048.67</v>
      </c>
      <c r="B359" s="10">
        <v>5591.03</v>
      </c>
    </row>
    <row r="360" spans="1:2" x14ac:dyDescent="0.25">
      <c r="A360" s="17">
        <v>4056.56</v>
      </c>
      <c r="B360" s="10">
        <v>12845.78</v>
      </c>
    </row>
    <row r="361" spans="1:2" x14ac:dyDescent="0.25">
      <c r="A361" s="17">
        <v>4090.46</v>
      </c>
      <c r="B361" s="10">
        <v>5648.74</v>
      </c>
    </row>
    <row r="362" spans="1:2" x14ac:dyDescent="0.25">
      <c r="A362" s="17">
        <v>4154.28</v>
      </c>
      <c r="B362" s="10">
        <v>10170.84</v>
      </c>
    </row>
    <row r="363" spans="1:2" x14ac:dyDescent="0.25">
      <c r="A363" s="17">
        <v>4223.72</v>
      </c>
      <c r="B363" s="10">
        <v>10340.83</v>
      </c>
    </row>
    <row r="364" spans="1:2" x14ac:dyDescent="0.25">
      <c r="A364" s="17">
        <v>4227.41</v>
      </c>
      <c r="B364" s="10">
        <v>5837.84</v>
      </c>
    </row>
    <row r="365" spans="1:2" x14ac:dyDescent="0.25">
      <c r="A365" s="17">
        <v>4233.2299999999996</v>
      </c>
      <c r="B365" s="10">
        <v>19284.73</v>
      </c>
    </row>
    <row r="366" spans="1:2" x14ac:dyDescent="0.25">
      <c r="A366" s="17">
        <v>4265.57</v>
      </c>
      <c r="B366" s="10">
        <v>10443.280000000001</v>
      </c>
    </row>
    <row r="367" spans="1:2" x14ac:dyDescent="0.25">
      <c r="A367" s="17">
        <v>4307.34</v>
      </c>
      <c r="B367" s="10">
        <v>10545.56</v>
      </c>
    </row>
    <row r="368" spans="1:2" x14ac:dyDescent="0.25">
      <c r="A368" s="17">
        <v>4318.41</v>
      </c>
      <c r="B368" s="10">
        <v>11104.47</v>
      </c>
    </row>
    <row r="369" spans="1:2" x14ac:dyDescent="0.25">
      <c r="A369" s="17">
        <v>4429.41</v>
      </c>
      <c r="B369" s="10">
        <v>6644.11</v>
      </c>
    </row>
    <row r="370" spans="1:2" x14ac:dyDescent="0.25">
      <c r="A370" s="17">
        <v>4444.05</v>
      </c>
      <c r="B370" s="10">
        <v>10369.450000000001</v>
      </c>
    </row>
    <row r="371" spans="1:2" x14ac:dyDescent="0.25">
      <c r="A371" s="17">
        <v>4456.71</v>
      </c>
      <c r="B371" s="10">
        <v>7588.45</v>
      </c>
    </row>
    <row r="372" spans="1:2" x14ac:dyDescent="0.25">
      <c r="A372" s="17">
        <v>4469.03</v>
      </c>
      <c r="B372" s="10">
        <v>14151.92</v>
      </c>
    </row>
    <row r="373" spans="1:2" x14ac:dyDescent="0.25">
      <c r="A373" s="17">
        <v>4469.5200000000004</v>
      </c>
      <c r="B373" s="10">
        <v>14153.5</v>
      </c>
    </row>
    <row r="374" spans="1:2" x14ac:dyDescent="0.25">
      <c r="A374" s="17">
        <v>4479.6000000000004</v>
      </c>
      <c r="B374" s="10">
        <v>6186.12</v>
      </c>
    </row>
    <row r="375" spans="1:2" x14ac:dyDescent="0.25">
      <c r="A375" s="17">
        <v>4481.6000000000004</v>
      </c>
      <c r="B375" s="10">
        <v>10972.21</v>
      </c>
    </row>
    <row r="376" spans="1:2" x14ac:dyDescent="0.25">
      <c r="A376" s="17">
        <v>4489.9399999999996</v>
      </c>
      <c r="B376" s="10">
        <v>6734.91</v>
      </c>
    </row>
    <row r="377" spans="1:2" x14ac:dyDescent="0.25">
      <c r="A377" s="17">
        <v>4546.08</v>
      </c>
      <c r="B377" s="10">
        <v>6819.12</v>
      </c>
    </row>
    <row r="378" spans="1:2" x14ac:dyDescent="0.25">
      <c r="A378" s="17">
        <v>4614.6499999999996</v>
      </c>
      <c r="B378" s="10">
        <v>11866.23</v>
      </c>
    </row>
    <row r="379" spans="1:2" x14ac:dyDescent="0.25">
      <c r="A379" s="17">
        <v>4666.3900000000003</v>
      </c>
      <c r="B379" s="10">
        <v>14776.89</v>
      </c>
    </row>
    <row r="380" spans="1:2" x14ac:dyDescent="0.25">
      <c r="A380" s="17">
        <v>4707.66</v>
      </c>
      <c r="B380" s="10">
        <v>11525.64</v>
      </c>
    </row>
    <row r="381" spans="1:2" x14ac:dyDescent="0.25">
      <c r="A381" s="17">
        <v>4809.3599999999997</v>
      </c>
      <c r="B381" s="10">
        <v>21909.29</v>
      </c>
    </row>
    <row r="382" spans="1:2" x14ac:dyDescent="0.25">
      <c r="A382" s="17">
        <v>4820.82</v>
      </c>
      <c r="B382" s="10">
        <v>6390.38</v>
      </c>
    </row>
    <row r="383" spans="1:2" x14ac:dyDescent="0.25">
      <c r="A383" s="17">
        <v>4828.16</v>
      </c>
      <c r="B383" s="10">
        <v>7242.24</v>
      </c>
    </row>
    <row r="384" spans="1:2" x14ac:dyDescent="0.25">
      <c r="A384" s="17">
        <v>4995.53</v>
      </c>
      <c r="B384" s="10">
        <v>8505.91</v>
      </c>
    </row>
    <row r="385" spans="1:2" x14ac:dyDescent="0.25">
      <c r="A385" s="17">
        <v>5071.97</v>
      </c>
      <c r="B385" s="10">
        <v>11834.59</v>
      </c>
    </row>
    <row r="386" spans="1:2" x14ac:dyDescent="0.25">
      <c r="A386" s="17">
        <v>5132.16</v>
      </c>
      <c r="B386" s="10">
        <v>7698.24</v>
      </c>
    </row>
    <row r="387" spans="1:2" x14ac:dyDescent="0.25">
      <c r="A387" s="17">
        <v>5156.17</v>
      </c>
      <c r="B387" s="10">
        <v>12031.07</v>
      </c>
    </row>
    <row r="388" spans="1:2" x14ac:dyDescent="0.25">
      <c r="A388" s="17">
        <v>5261.48</v>
      </c>
      <c r="B388" s="10">
        <v>6974.52</v>
      </c>
    </row>
    <row r="389" spans="1:2" x14ac:dyDescent="0.25">
      <c r="A389" s="17">
        <v>5467.4</v>
      </c>
      <c r="B389" s="10">
        <v>13385.72</v>
      </c>
    </row>
    <row r="390" spans="1:2" x14ac:dyDescent="0.25">
      <c r="A390" s="17">
        <v>5482.72</v>
      </c>
      <c r="B390" s="10">
        <v>9335.44</v>
      </c>
    </row>
    <row r="391" spans="1:2" x14ac:dyDescent="0.25">
      <c r="A391" s="17">
        <v>5486.78</v>
      </c>
      <c r="B391" s="10">
        <v>8230.18</v>
      </c>
    </row>
    <row r="392" spans="1:2" x14ac:dyDescent="0.25">
      <c r="A392" s="17">
        <v>5528.5</v>
      </c>
      <c r="B392" s="10">
        <v>14216.15</v>
      </c>
    </row>
    <row r="393" spans="1:2" x14ac:dyDescent="0.25">
      <c r="A393" s="17">
        <v>5603.47</v>
      </c>
      <c r="B393" s="10">
        <v>14408.93</v>
      </c>
    </row>
    <row r="394" spans="1:2" x14ac:dyDescent="0.25">
      <c r="A394" s="17">
        <v>5612.34</v>
      </c>
      <c r="B394" s="10">
        <v>7750.38</v>
      </c>
    </row>
    <row r="395" spans="1:2" x14ac:dyDescent="0.25">
      <c r="A395" s="17">
        <v>5641.65</v>
      </c>
      <c r="B395" s="10">
        <v>13163.85</v>
      </c>
    </row>
    <row r="396" spans="1:2" x14ac:dyDescent="0.25">
      <c r="A396" s="17">
        <v>5771.23</v>
      </c>
      <c r="B396" s="10">
        <v>8656.85</v>
      </c>
    </row>
    <row r="397" spans="1:2" x14ac:dyDescent="0.25">
      <c r="A397" s="17">
        <v>6027.84</v>
      </c>
      <c r="B397" s="10">
        <v>8324.16</v>
      </c>
    </row>
    <row r="398" spans="1:2" x14ac:dyDescent="0.25">
      <c r="A398" s="17">
        <v>6045.77</v>
      </c>
      <c r="B398" s="10">
        <v>15546.25</v>
      </c>
    </row>
    <row r="399" spans="1:2" x14ac:dyDescent="0.25">
      <c r="A399" s="17">
        <v>6155.52</v>
      </c>
      <c r="B399" s="10">
        <v>9233.2800000000007</v>
      </c>
    </row>
    <row r="400" spans="1:2" x14ac:dyDescent="0.25">
      <c r="A400" s="17">
        <v>6169.98</v>
      </c>
      <c r="B400" s="10">
        <v>8178.82</v>
      </c>
    </row>
    <row r="401" spans="1:2" x14ac:dyDescent="0.25">
      <c r="A401" s="17">
        <v>6209.99</v>
      </c>
      <c r="B401" s="10">
        <v>17674.57</v>
      </c>
    </row>
    <row r="402" spans="1:2" x14ac:dyDescent="0.25">
      <c r="A402" s="17">
        <v>6232.04</v>
      </c>
      <c r="B402" s="10">
        <v>17737.36</v>
      </c>
    </row>
    <row r="403" spans="1:2" x14ac:dyDescent="0.25">
      <c r="A403" s="17">
        <v>6248.79</v>
      </c>
      <c r="B403" s="10">
        <v>8629.2900000000009</v>
      </c>
    </row>
    <row r="404" spans="1:2" x14ac:dyDescent="0.25">
      <c r="A404" s="17">
        <v>6304.72</v>
      </c>
      <c r="B404" s="10">
        <v>9457.07</v>
      </c>
    </row>
    <row r="405" spans="1:2" x14ac:dyDescent="0.25">
      <c r="A405" s="17">
        <v>6349.56</v>
      </c>
      <c r="B405" s="10">
        <v>10811.4</v>
      </c>
    </row>
    <row r="406" spans="1:2" x14ac:dyDescent="0.25">
      <c r="A406" s="17">
        <v>6353.09</v>
      </c>
      <c r="B406" s="10">
        <v>9529.6299999999992</v>
      </c>
    </row>
    <row r="407" spans="1:2" x14ac:dyDescent="0.25">
      <c r="A407" s="17">
        <v>6358.6</v>
      </c>
      <c r="B407" s="10">
        <v>16350.68</v>
      </c>
    </row>
    <row r="408" spans="1:2" x14ac:dyDescent="0.25">
      <c r="A408" s="17">
        <v>6414.4</v>
      </c>
      <c r="B408" s="10">
        <v>8502.7999999999993</v>
      </c>
    </row>
    <row r="409" spans="1:2" x14ac:dyDescent="0.25">
      <c r="A409" s="17">
        <v>6430.08</v>
      </c>
      <c r="B409" s="10">
        <v>8879.64</v>
      </c>
    </row>
    <row r="410" spans="1:2" x14ac:dyDescent="0.25">
      <c r="A410" s="17">
        <v>6507.43</v>
      </c>
      <c r="B410" s="10">
        <v>18521.150000000001</v>
      </c>
    </row>
    <row r="411" spans="1:2" x14ac:dyDescent="0.25">
      <c r="A411" s="17">
        <v>6598.33</v>
      </c>
      <c r="B411" s="10">
        <v>18779.87</v>
      </c>
    </row>
    <row r="412" spans="1:2" x14ac:dyDescent="0.25">
      <c r="A412" s="17">
        <v>6837.67</v>
      </c>
      <c r="B412" s="10">
        <v>19461.05</v>
      </c>
    </row>
    <row r="413" spans="1:2" x14ac:dyDescent="0.25">
      <c r="A413" s="17">
        <v>6882.25</v>
      </c>
      <c r="B413" s="10">
        <v>31352.45</v>
      </c>
    </row>
    <row r="414" spans="1:2" x14ac:dyDescent="0.25">
      <c r="A414" s="17">
        <v>6989.37</v>
      </c>
      <c r="B414" s="10">
        <v>9651.99</v>
      </c>
    </row>
    <row r="415" spans="1:2" x14ac:dyDescent="0.25">
      <c r="A415" s="17">
        <v>7101.49</v>
      </c>
      <c r="B415" s="10">
        <v>22488.07</v>
      </c>
    </row>
    <row r="416" spans="1:2" x14ac:dyDescent="0.25">
      <c r="A416" s="17">
        <v>7162.23</v>
      </c>
      <c r="B416" s="10">
        <v>10743.35</v>
      </c>
    </row>
    <row r="417" spans="1:2" x14ac:dyDescent="0.25">
      <c r="A417" s="17">
        <v>7199.71</v>
      </c>
      <c r="B417" s="10">
        <v>20491.490000000002</v>
      </c>
    </row>
    <row r="418" spans="1:2" x14ac:dyDescent="0.25">
      <c r="A418" s="17">
        <v>7279.22</v>
      </c>
      <c r="B418" s="10">
        <v>38215.9</v>
      </c>
    </row>
    <row r="419" spans="1:2" x14ac:dyDescent="0.25">
      <c r="A419" s="17">
        <v>7327.16</v>
      </c>
      <c r="B419" s="10">
        <v>53732.52</v>
      </c>
    </row>
    <row r="420" spans="1:2" x14ac:dyDescent="0.25">
      <c r="A420" s="17">
        <v>7447.7</v>
      </c>
      <c r="B420" s="10">
        <v>33928.400000000001</v>
      </c>
    </row>
    <row r="421" spans="1:2" x14ac:dyDescent="0.25">
      <c r="A421" s="17">
        <v>7561.32</v>
      </c>
      <c r="B421" s="10">
        <v>55449.7</v>
      </c>
    </row>
    <row r="422" spans="1:2" x14ac:dyDescent="0.25">
      <c r="A422" s="17">
        <v>7693.67</v>
      </c>
      <c r="B422" s="10">
        <v>21897.37</v>
      </c>
    </row>
    <row r="423" spans="1:2" x14ac:dyDescent="0.25">
      <c r="A423" s="17">
        <v>7693.81</v>
      </c>
      <c r="B423" s="10">
        <v>43598.23</v>
      </c>
    </row>
    <row r="424" spans="1:2" x14ac:dyDescent="0.25">
      <c r="A424" s="17">
        <v>7845.15</v>
      </c>
      <c r="B424" s="10">
        <v>57531.06</v>
      </c>
    </row>
    <row r="425" spans="1:2" x14ac:dyDescent="0.25">
      <c r="A425" s="17">
        <v>7945.26</v>
      </c>
      <c r="B425" s="10">
        <v>10972.02</v>
      </c>
    </row>
    <row r="426" spans="1:2" x14ac:dyDescent="0.25">
      <c r="A426" s="17">
        <v>7993.95</v>
      </c>
      <c r="B426" s="10">
        <v>13611.33</v>
      </c>
    </row>
    <row r="427" spans="1:2" x14ac:dyDescent="0.25">
      <c r="A427" s="17">
        <v>8126.47</v>
      </c>
      <c r="B427" s="10">
        <v>13836.95</v>
      </c>
    </row>
    <row r="428" spans="1:2" x14ac:dyDescent="0.25">
      <c r="A428" s="17">
        <v>8210.09</v>
      </c>
      <c r="B428" s="10">
        <v>43102.99</v>
      </c>
    </row>
    <row r="429" spans="1:2" x14ac:dyDescent="0.25">
      <c r="A429" s="17">
        <v>8230.23</v>
      </c>
      <c r="B429" s="10">
        <v>37493.269999999997</v>
      </c>
    </row>
    <row r="430" spans="1:2" x14ac:dyDescent="0.25">
      <c r="A430" s="17">
        <v>8244.5300000000007</v>
      </c>
      <c r="B430" s="10">
        <v>26107.69</v>
      </c>
    </row>
    <row r="431" spans="1:2" x14ac:dyDescent="0.25">
      <c r="A431" s="17">
        <v>8351.64</v>
      </c>
      <c r="B431" s="10">
        <v>12527.46</v>
      </c>
    </row>
    <row r="432" spans="1:2" x14ac:dyDescent="0.25">
      <c r="A432" s="17">
        <v>8402.82</v>
      </c>
      <c r="B432" s="10">
        <v>47615.98</v>
      </c>
    </row>
    <row r="433" spans="1:2" x14ac:dyDescent="0.25">
      <c r="A433" s="17">
        <v>8516.51</v>
      </c>
      <c r="B433" s="10">
        <v>48260.21</v>
      </c>
    </row>
    <row r="434" spans="1:2" x14ac:dyDescent="0.25">
      <c r="A434" s="17">
        <v>8686.5</v>
      </c>
      <c r="B434" s="10">
        <v>21266.94</v>
      </c>
    </row>
    <row r="435" spans="1:2" x14ac:dyDescent="0.25">
      <c r="A435" s="17">
        <v>8693.14</v>
      </c>
      <c r="B435" s="10">
        <v>21283.22</v>
      </c>
    </row>
    <row r="436" spans="1:2" x14ac:dyDescent="0.25">
      <c r="A436" s="17">
        <v>8786.19</v>
      </c>
      <c r="B436" s="10">
        <v>11646.81</v>
      </c>
    </row>
    <row r="437" spans="1:2" x14ac:dyDescent="0.25">
      <c r="A437" s="17">
        <v>9518.9699999999993</v>
      </c>
      <c r="B437" s="10">
        <v>30143.39</v>
      </c>
    </row>
    <row r="438" spans="1:2" x14ac:dyDescent="0.25">
      <c r="A438" s="17">
        <v>10009.82</v>
      </c>
      <c r="B438" s="10">
        <v>45600.28</v>
      </c>
    </row>
    <row r="439" spans="1:2" x14ac:dyDescent="0.25">
      <c r="A439" s="17">
        <v>10042.030000000001</v>
      </c>
      <c r="B439" s="10">
        <v>31799.77</v>
      </c>
    </row>
    <row r="440" spans="1:2" x14ac:dyDescent="0.25">
      <c r="A440" s="17">
        <v>10163.82</v>
      </c>
      <c r="B440" s="10">
        <v>15245.74</v>
      </c>
    </row>
    <row r="441" spans="1:2" x14ac:dyDescent="0.25">
      <c r="A441" s="17">
        <v>10179.65</v>
      </c>
      <c r="B441" s="10">
        <v>13493.95</v>
      </c>
    </row>
    <row r="442" spans="1:2" x14ac:dyDescent="0.25">
      <c r="A442" s="17">
        <v>10781.28</v>
      </c>
      <c r="B442" s="10">
        <v>30685.200000000001</v>
      </c>
    </row>
    <row r="443" spans="1:2" x14ac:dyDescent="0.25">
      <c r="A443" s="17">
        <v>11232.21</v>
      </c>
      <c r="B443" s="10">
        <v>51168.93</v>
      </c>
    </row>
    <row r="444" spans="1:2" x14ac:dyDescent="0.25">
      <c r="A444" s="17">
        <v>12184.92</v>
      </c>
      <c r="B444" s="10">
        <v>89356.08</v>
      </c>
    </row>
    <row r="445" spans="1:2" x14ac:dyDescent="0.25">
      <c r="A445" s="17">
        <v>12185.08</v>
      </c>
      <c r="B445" s="10">
        <v>16152.32</v>
      </c>
    </row>
    <row r="446" spans="1:2" x14ac:dyDescent="0.25">
      <c r="A446" s="17">
        <v>12728.11</v>
      </c>
      <c r="B446" s="10">
        <v>40305.67</v>
      </c>
    </row>
    <row r="447" spans="1:2" x14ac:dyDescent="0.25">
      <c r="A447" s="17">
        <v>13176.4</v>
      </c>
      <c r="B447" s="10">
        <v>22435.5</v>
      </c>
    </row>
    <row r="448" spans="1:2" x14ac:dyDescent="0.25">
      <c r="A448" s="17">
        <v>13287.41</v>
      </c>
      <c r="B448" s="10">
        <v>60531.55</v>
      </c>
    </row>
    <row r="449" spans="1:2" x14ac:dyDescent="0.25">
      <c r="A449" s="17">
        <v>14275.7</v>
      </c>
      <c r="B449" s="10">
        <v>65033.74</v>
      </c>
    </row>
    <row r="450" spans="1:2" x14ac:dyDescent="0.25">
      <c r="A450" s="17">
        <v>14321.88</v>
      </c>
      <c r="B450" s="10">
        <v>81157.320000000007</v>
      </c>
    </row>
    <row r="451" spans="1:2" x14ac:dyDescent="0.25">
      <c r="A451" s="17">
        <v>14354.65</v>
      </c>
      <c r="B451" s="10">
        <v>75361.91</v>
      </c>
    </row>
    <row r="452" spans="1:2" x14ac:dyDescent="0.25">
      <c r="A452" s="17">
        <v>14397.87</v>
      </c>
      <c r="B452" s="10">
        <v>65590.289999999994</v>
      </c>
    </row>
    <row r="453" spans="1:2" x14ac:dyDescent="0.25">
      <c r="A453" s="17">
        <v>14485.36</v>
      </c>
      <c r="B453" s="10">
        <v>76048.14</v>
      </c>
    </row>
    <row r="454" spans="1:2" x14ac:dyDescent="0.25">
      <c r="A454" s="17">
        <v>14618.34</v>
      </c>
      <c r="B454" s="10">
        <v>66594.66</v>
      </c>
    </row>
    <row r="455" spans="1:2" x14ac:dyDescent="0.25">
      <c r="A455" s="17">
        <v>14920.4</v>
      </c>
      <c r="B455" s="10">
        <v>25405</v>
      </c>
    </row>
    <row r="456" spans="1:2" x14ac:dyDescent="0.25">
      <c r="A456" s="17">
        <v>15211.68</v>
      </c>
      <c r="B456" s="10">
        <v>20164.32</v>
      </c>
    </row>
    <row r="457" spans="1:2" x14ac:dyDescent="0.25">
      <c r="A457" s="17">
        <v>15235.2</v>
      </c>
      <c r="B457" s="10">
        <v>69404.800000000003</v>
      </c>
    </row>
    <row r="458" spans="1:2" x14ac:dyDescent="0.25">
      <c r="A458" s="17">
        <v>15659.35</v>
      </c>
      <c r="B458" s="10">
        <v>26663.21</v>
      </c>
    </row>
    <row r="459" spans="1:2" x14ac:dyDescent="0.25">
      <c r="A459" s="17">
        <v>15683.18</v>
      </c>
      <c r="B459" s="10">
        <v>88871.38</v>
      </c>
    </row>
    <row r="460" spans="1:2" x14ac:dyDescent="0.25">
      <c r="A460" s="17">
        <v>16033</v>
      </c>
      <c r="B460" s="10">
        <v>21253.040000000001</v>
      </c>
    </row>
    <row r="461" spans="1:2" x14ac:dyDescent="0.25">
      <c r="A461" s="17">
        <v>16521.79</v>
      </c>
      <c r="B461" s="10">
        <v>86739.41</v>
      </c>
    </row>
    <row r="462" spans="1:2" x14ac:dyDescent="0.25">
      <c r="A462" s="17">
        <v>17378.16</v>
      </c>
      <c r="B462" s="10">
        <v>98476.26</v>
      </c>
    </row>
    <row r="463" spans="1:2" x14ac:dyDescent="0.25">
      <c r="A463" s="17">
        <v>17501.86</v>
      </c>
      <c r="B463" s="10">
        <v>23200.14</v>
      </c>
    </row>
    <row r="464" spans="1:2" x14ac:dyDescent="0.25">
      <c r="A464" s="17">
        <v>17721.330000000002</v>
      </c>
      <c r="B464" s="10">
        <v>80730.509999999995</v>
      </c>
    </row>
    <row r="465" spans="1:2" x14ac:dyDescent="0.25">
      <c r="A465" s="17">
        <v>18343.41</v>
      </c>
      <c r="B465" s="10">
        <v>24315.69</v>
      </c>
    </row>
    <row r="466" spans="1:2" x14ac:dyDescent="0.25">
      <c r="A466" s="17">
        <v>18675.14</v>
      </c>
      <c r="B466" s="10">
        <v>85075.66</v>
      </c>
    </row>
    <row r="467" spans="1:2" x14ac:dyDescent="0.25">
      <c r="A467" s="17">
        <v>18984.400000000001</v>
      </c>
      <c r="B467" s="10">
        <v>99668.12</v>
      </c>
    </row>
    <row r="468" spans="1:2" x14ac:dyDescent="0.25">
      <c r="A468" s="17">
        <v>19154.23</v>
      </c>
      <c r="B468" s="10">
        <v>140464.37</v>
      </c>
    </row>
    <row r="469" spans="1:2" x14ac:dyDescent="0.25">
      <c r="A469" s="17">
        <v>20739.07</v>
      </c>
      <c r="B469" s="10">
        <v>35312.480000000003</v>
      </c>
    </row>
    <row r="470" spans="1:2" x14ac:dyDescent="0.25">
      <c r="A470" s="17">
        <v>21218.75</v>
      </c>
      <c r="B470" s="10">
        <v>155604.13</v>
      </c>
    </row>
    <row r="471" spans="1:2" x14ac:dyDescent="0.25">
      <c r="A471" s="17">
        <v>21249.09</v>
      </c>
      <c r="B471" s="10">
        <v>96801.39</v>
      </c>
    </row>
    <row r="472" spans="1:2" x14ac:dyDescent="0.25">
      <c r="A472" s="17">
        <v>21370.25</v>
      </c>
      <c r="B472" s="10">
        <v>36387.19</v>
      </c>
    </row>
    <row r="473" spans="1:2" x14ac:dyDescent="0.25">
      <c r="A473" s="17">
        <v>21796.58</v>
      </c>
      <c r="B473" s="10">
        <v>114432.07</v>
      </c>
    </row>
    <row r="474" spans="1:2" x14ac:dyDescent="0.25">
      <c r="A474" s="17">
        <v>22252.55</v>
      </c>
      <c r="B474" s="10">
        <v>163185.34</v>
      </c>
    </row>
    <row r="475" spans="1:2" x14ac:dyDescent="0.25">
      <c r="A475" s="17">
        <v>23407.88</v>
      </c>
      <c r="B475" s="10">
        <v>122891.35</v>
      </c>
    </row>
    <row r="476" spans="1:2" x14ac:dyDescent="0.25">
      <c r="A476" s="17">
        <v>23439.15</v>
      </c>
      <c r="B476" s="10">
        <v>132821.85</v>
      </c>
    </row>
    <row r="477" spans="1:2" x14ac:dyDescent="0.25">
      <c r="A477" s="17">
        <v>24908.080000000002</v>
      </c>
      <c r="B477" s="10">
        <v>113470.16</v>
      </c>
    </row>
    <row r="478" spans="1:2" x14ac:dyDescent="0.25">
      <c r="A478" s="17">
        <v>25431.18</v>
      </c>
      <c r="B478" s="10">
        <v>144110.04</v>
      </c>
    </row>
    <row r="479" spans="1:2" x14ac:dyDescent="0.25">
      <c r="A479" s="17">
        <v>25502.400000000001</v>
      </c>
      <c r="B479" s="10">
        <v>116177.60000000001</v>
      </c>
    </row>
    <row r="480" spans="1:2" x14ac:dyDescent="0.25">
      <c r="A480" s="17">
        <v>25544.66</v>
      </c>
      <c r="B480" s="10">
        <v>134109.49</v>
      </c>
    </row>
    <row r="481" spans="1:2" x14ac:dyDescent="0.25">
      <c r="A481" s="17">
        <v>25758.31</v>
      </c>
      <c r="B481" s="10">
        <v>145963.79</v>
      </c>
    </row>
    <row r="482" spans="1:2" x14ac:dyDescent="0.25">
      <c r="A482" s="17">
        <v>27370.35</v>
      </c>
      <c r="B482" s="10">
        <v>155098.65</v>
      </c>
    </row>
    <row r="483" spans="1:2" x14ac:dyDescent="0.25">
      <c r="A483" s="17">
        <v>27868.32</v>
      </c>
      <c r="B483" s="10">
        <v>204367.68</v>
      </c>
    </row>
    <row r="484" spans="1:2" x14ac:dyDescent="0.25">
      <c r="A484" s="17">
        <v>28605.759999999998</v>
      </c>
      <c r="B484" s="10">
        <v>209775.56</v>
      </c>
    </row>
    <row r="485" spans="1:2" x14ac:dyDescent="0.25">
      <c r="A485" s="17">
        <v>29641.7</v>
      </c>
      <c r="B485" s="10">
        <v>217372.46</v>
      </c>
    </row>
    <row r="486" spans="1:2" x14ac:dyDescent="0.25">
      <c r="A486" s="17">
        <v>30799.49</v>
      </c>
      <c r="B486" s="10">
        <v>140308.81</v>
      </c>
    </row>
    <row r="487" spans="1:2" x14ac:dyDescent="0.25">
      <c r="A487" s="17">
        <v>30897.77</v>
      </c>
      <c r="B487" s="10">
        <v>52609.72</v>
      </c>
    </row>
    <row r="488" spans="1:2" x14ac:dyDescent="0.25">
      <c r="A488" s="17">
        <v>31644.84</v>
      </c>
      <c r="B488" s="10">
        <v>232062.16</v>
      </c>
    </row>
    <row r="489" spans="1:2" x14ac:dyDescent="0.25">
      <c r="A489" s="17">
        <v>32263.75</v>
      </c>
      <c r="B489" s="10">
        <v>236600.8</v>
      </c>
    </row>
    <row r="490" spans="1:2" x14ac:dyDescent="0.25">
      <c r="A490" s="17">
        <v>32368.32</v>
      </c>
      <c r="B490" s="10">
        <v>169933.68</v>
      </c>
    </row>
    <row r="491" spans="1:2" x14ac:dyDescent="0.25">
      <c r="A491" s="17">
        <v>35013.43</v>
      </c>
      <c r="B491" s="10">
        <v>183820.49</v>
      </c>
    </row>
    <row r="492" spans="1:2" x14ac:dyDescent="0.25">
      <c r="A492" s="17">
        <v>35886.76</v>
      </c>
      <c r="B492" s="10">
        <v>263169.53999999998</v>
      </c>
    </row>
    <row r="493" spans="1:2" x14ac:dyDescent="0.25">
      <c r="A493" s="17">
        <v>36095.89</v>
      </c>
      <c r="B493" s="10">
        <v>204543.35999999999</v>
      </c>
    </row>
    <row r="494" spans="1:2" x14ac:dyDescent="0.25">
      <c r="A494" s="17">
        <v>38723.9</v>
      </c>
      <c r="B494" s="10">
        <v>283975.3</v>
      </c>
    </row>
    <row r="495" spans="1:2" x14ac:dyDescent="0.25">
      <c r="A495" s="17">
        <v>39374.31</v>
      </c>
      <c r="B495" s="10">
        <v>206715.14</v>
      </c>
    </row>
    <row r="496" spans="1:2" x14ac:dyDescent="0.25">
      <c r="A496" s="17">
        <v>42550.5</v>
      </c>
      <c r="B496" s="10">
        <v>223390.14</v>
      </c>
    </row>
    <row r="497" spans="1:2" x14ac:dyDescent="0.25">
      <c r="A497" s="17">
        <v>42797.75</v>
      </c>
      <c r="B497" s="10">
        <v>313850.17</v>
      </c>
    </row>
    <row r="498" spans="1:2" x14ac:dyDescent="0.25">
      <c r="A498" s="17">
        <v>42886.79</v>
      </c>
      <c r="B498" s="10">
        <v>314503.09000000003</v>
      </c>
    </row>
    <row r="499" spans="1:2" x14ac:dyDescent="0.25">
      <c r="A499" s="17">
        <v>44059.96</v>
      </c>
      <c r="B499" s="10">
        <v>323106.38</v>
      </c>
    </row>
    <row r="500" spans="1:2" x14ac:dyDescent="0.25">
      <c r="A500" s="17">
        <v>44191.32</v>
      </c>
      <c r="B500" s="10">
        <v>232004.46</v>
      </c>
    </row>
    <row r="501" spans="1:2" x14ac:dyDescent="0.25">
      <c r="A501" s="17">
        <v>44806.86</v>
      </c>
      <c r="B501" s="10">
        <v>253905.54</v>
      </c>
    </row>
    <row r="502" spans="1:2" x14ac:dyDescent="0.25">
      <c r="A502" s="17">
        <v>44815.8</v>
      </c>
      <c r="B502" s="10">
        <v>328649.15999999997</v>
      </c>
    </row>
    <row r="503" spans="1:2" x14ac:dyDescent="0.25">
      <c r="A503" s="17">
        <v>46220.39</v>
      </c>
      <c r="B503" s="10">
        <v>242657.05</v>
      </c>
    </row>
    <row r="504" spans="1:2" x14ac:dyDescent="0.25">
      <c r="A504" s="17">
        <v>51952.67</v>
      </c>
      <c r="B504" s="10">
        <v>272751.49</v>
      </c>
    </row>
    <row r="505" spans="1:2" x14ac:dyDescent="0.25">
      <c r="A505" s="17">
        <v>55241.11</v>
      </c>
      <c r="B505" s="10">
        <v>313032.95</v>
      </c>
    </row>
    <row r="506" spans="1:2" x14ac:dyDescent="0.25">
      <c r="A506" s="17">
        <v>57129.599999999999</v>
      </c>
      <c r="B506" s="10">
        <v>299930.40000000002</v>
      </c>
    </row>
    <row r="507" spans="1:2" x14ac:dyDescent="0.25">
      <c r="A507" s="17" t="s">
        <v>178</v>
      </c>
      <c r="B507" s="10"/>
    </row>
    <row r="508" spans="1:2" x14ac:dyDescent="0.25">
      <c r="A508" s="17" t="s">
        <v>82</v>
      </c>
      <c r="B508" s="10">
        <v>10798287.389999999</v>
      </c>
    </row>
  </sheetData>
  <mergeCells count="1">
    <mergeCell ref="A252:Q252"/>
  </mergeCells>
  <dataValidations count="2">
    <dataValidation type="list" allowBlank="1" showInputMessage="1" showErrorMessage="1" sqref="Z8" xr:uid="{E909A912-FFCA-449F-A019-2DC0356BA3D6}">
      <formula1>"yes,no"</formula1>
    </dataValidation>
    <dataValidation type="list" allowBlank="1" showInputMessage="1" showErrorMessage="1" sqref="Z5" xr:uid="{BF0C3760-7CC8-418E-A5E5-5B550F4A6B9E}">
      <formula1>"yes"</formula1>
    </dataValidation>
  </dataValidations>
  <pageMargins left="0.7" right="0.7" top="0.75" bottom="0.75" header="0.3" footer="0.3"/>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 mavi</dc:creator>
  <cp:lastModifiedBy>komal mavi</cp:lastModifiedBy>
  <dcterms:created xsi:type="dcterms:W3CDTF">2026-08-08T14:07:36Z</dcterms:created>
  <dcterms:modified xsi:type="dcterms:W3CDTF">2026-08-08T14:14:57Z</dcterms:modified>
</cp:coreProperties>
</file>